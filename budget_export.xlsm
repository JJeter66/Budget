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5609a5233c1405a/1. Life Stuff/Budget/Bank Data Export/"/>
    </mc:Choice>
  </mc:AlternateContent>
  <xr:revisionPtr revIDLastSave="8" documentId="8_{467A0AFB-7377-43AE-A925-60F2C48ED4A0}" xr6:coauthVersionLast="47" xr6:coauthVersionMax="47" xr10:uidLastSave="{F7D89B1B-29EC-4C2D-B822-9674324E05C5}"/>
  <bookViews>
    <workbookView xWindow="1080" yWindow="1080" windowWidth="14400" windowHeight="7380" activeTab="1" xr2:uid="{00000000-000D-0000-FFFF-FFFF00000000}"/>
  </bookViews>
  <sheets>
    <sheet name="Budget Data" sheetId="1" r:id="rId1"/>
    <sheet name="Quicklook" sheetId="4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" l="1"/>
  <c r="F3" i="4" s="1"/>
  <c r="F1" i="4"/>
  <c r="A1" i="4"/>
  <c r="H2" i="4" l="1"/>
  <c r="I2" i="4" s="1"/>
  <c r="J2" i="4" s="1"/>
  <c r="F4" i="4" s="1"/>
</calcChain>
</file>

<file path=xl/sharedStrings.xml><?xml version="1.0" encoding="utf-8"?>
<sst xmlns="http://schemas.openxmlformats.org/spreadsheetml/2006/main" count="663" uniqueCount="304">
  <si>
    <t>Account</t>
  </si>
  <si>
    <t>SourceSheet</t>
  </si>
  <si>
    <t>CompanyName</t>
  </si>
  <si>
    <t>Description</t>
  </si>
  <si>
    <t>Category</t>
  </si>
  <si>
    <t>Subcategory</t>
  </si>
  <si>
    <t>Date</t>
  </si>
  <si>
    <t>Amount</t>
  </si>
  <si>
    <t>Notes</t>
  </si>
  <si>
    <t>TransactionID</t>
  </si>
  <si>
    <t>Flagship Checking</t>
  </si>
  <si>
    <t>NFCU</t>
  </si>
  <si>
    <t>Deposit</t>
  </si>
  <si>
    <t>W. Home</t>
  </si>
  <si>
    <t>2025-11-12</t>
  </si>
  <si>
    <t>2025-11-12 | home depot</t>
  </si>
  <si>
    <t>wn6JRrPJ6AUBbJV5DynNT0gqM8bz3JCv5Q7D3</t>
  </si>
  <si>
    <t>630nexAn0Rhwm4871XjYCNbV8APwkxtNO8npp</t>
  </si>
  <si>
    <t>Winco Foods</t>
  </si>
  <si>
    <t>Pos Debit 4988 Winco Foods #169 10315</t>
  </si>
  <si>
    <t>O. Groceries</t>
  </si>
  <si>
    <t>2025-11-12 | winco foods</t>
  </si>
  <si>
    <t>DZ9yxdgy9rtX579VNvOKf09LPkmy7XCRm5eOd</t>
  </si>
  <si>
    <t>Zelle Debit</t>
  </si>
  <si>
    <t>V. Shopping</t>
  </si>
  <si>
    <t>2025-11-12 | zelle debit</t>
  </si>
  <si>
    <t>LOp4qBQ4pDujyO8M0oEquZJoYnVj9LFBVq5RD</t>
  </si>
  <si>
    <t>ACH Debit - Chase Credit Crd Epay 2100002</t>
  </si>
  <si>
    <t>Uncategorized</t>
  </si>
  <si>
    <t>2025-11-10</t>
  </si>
  <si>
    <t xml:space="preserve">2025-11-10 | </t>
  </si>
  <si>
    <t>8KrXx80XratVdPra9Z4jSn1nKY1EpmCKNYdYK</t>
  </si>
  <si>
    <t>ACH Debit - Paypal Inst Xfer 9100001</t>
  </si>
  <si>
    <t>L. Subscriptions</t>
  </si>
  <si>
    <t>2025-11-10 | ach debit - paypal inst xfer 9100001</t>
  </si>
  <si>
    <t>o7EAr3RAExsM8drpZV61sXPXbeP5MpHkYr8rQ</t>
  </si>
  <si>
    <t>ACH Debit - Usaa.com Paymnt Credit Crd 31407426</t>
  </si>
  <si>
    <t>H. Life Insurance</t>
  </si>
  <si>
    <t>2025-11-10 | usaa</t>
  </si>
  <si>
    <t>ZqkMX8AMkPF1A7V8E4vDs878947jQMF9N808v</t>
  </si>
  <si>
    <t>ATM Fee - Withdrawal</t>
  </si>
  <si>
    <t>2025-11-10 | atm fee - withdrawal</t>
  </si>
  <si>
    <t>7yjpxJvpjaIXak8bVQr0iLwLORwQjZUz78y8r</t>
  </si>
  <si>
    <t>ATM Withdrawal Plus P713355</t>
  </si>
  <si>
    <t>2025-11-10 | atm withdrawal</t>
  </si>
  <si>
    <t>gxo1Pwb1oqF4DrQOKw8YHmrmP1rxZ7cbd6g6O</t>
  </si>
  <si>
    <t>Comcast</t>
  </si>
  <si>
    <t>K. Internet</t>
  </si>
  <si>
    <t>2025-11-10 | comcast</t>
  </si>
  <si>
    <t>5BvQnakQvRFxN3X7D40VI5D5qmDNOwCdeNqN1</t>
  </si>
  <si>
    <t>Pos Debit- 4988 4988 Winco Foods #169 10315</t>
  </si>
  <si>
    <t>2025-11-10 | winco foods</t>
  </si>
  <si>
    <t>b0xdwVJdx6UzbZ0pvkjmHLZL37ZxNzUdBPpPO</t>
  </si>
  <si>
    <t>Dept Education Student Ln</t>
  </si>
  <si>
    <t>ACH Debit - Dept Education Student Ln 4103604</t>
  </si>
  <si>
    <t>B. Student loan</t>
  </si>
  <si>
    <t>2025-11-07</t>
  </si>
  <si>
    <t>2025-11-07 | ach debit - dept education student ln 4103604</t>
  </si>
  <si>
    <t>X1yVXxKVymsLKqNpEwkzfN9V1Aqr5VH0qZgea</t>
  </si>
  <si>
    <t>ACH Debit - Usaa.com Pay Ext Life 2100002</t>
  </si>
  <si>
    <t>2025-11-07 | usaa</t>
  </si>
  <si>
    <t>NEdx3ywxdPu8wxNm7DJpT6q4OQejv4FxvEDqx</t>
  </si>
  <si>
    <t>Deposit Providence Payroll</t>
  </si>
  <si>
    <t>2025-11-06</t>
  </si>
  <si>
    <t xml:space="preserve">2025-11-06 | </t>
  </si>
  <si>
    <t>1DyOn0BOyQHR9eO7dQKrsonjAr9nREcgj0Pko</t>
  </si>
  <si>
    <t>ACH Transaction - USAA FSB ICPAYMENT 0031407426 ACH DEBIT</t>
  </si>
  <si>
    <t>2025-11-05</t>
  </si>
  <si>
    <t>2025-11-05 | usaa</t>
  </si>
  <si>
    <t>PQ68KkL86BtgLxNJYenkUmXrvKMXJVTA1g9z7</t>
  </si>
  <si>
    <t>Deposit - HEALTHEQUITY INC HEALTHEQUITY INC DEPOSIT</t>
  </si>
  <si>
    <t xml:space="preserve">2025-11-05 | </t>
  </si>
  <si>
    <t>qVQ0rmd0QXI6bmrJDvd3sAPBgn3PDLiEBqdKn</t>
  </si>
  <si>
    <t>BJgBxMoBg9UE15Xb3QLdHEbRmeObN5t7dgBKQ</t>
  </si>
  <si>
    <t>3PkEnryEkQHw1RXv6bAgFX3oLBx3ZqCA7V1Nx</t>
  </si>
  <si>
    <t>ydDZ4aBZDOtybmz7XxBrI1JZbVaJp9cg3rQ5J</t>
  </si>
  <si>
    <t>Deposit - Patreon Patreon DEPOSIT</t>
  </si>
  <si>
    <t>2025-11-05 | patreon</t>
  </si>
  <si>
    <t>KVnrPqRrnLI3mB8J9gLnUz8j76D8NXHm1n9P5</t>
  </si>
  <si>
    <t>POS Debit - Visa Check Card 4988 - WINCO FOODS 169 10315 Silver JORDON M JETER POS TRANSACTION</t>
  </si>
  <si>
    <t>2025-11-04</t>
  </si>
  <si>
    <t>2025-11-04 | winco foods</t>
  </si>
  <si>
    <t>YmKOXJkOK1hDkoJ8Eb3VUQqkOxpq9VfqwNvmj</t>
  </si>
  <si>
    <t>Fidelity</t>
  </si>
  <si>
    <t>ACH Transaction - FIDELITY 87415 P FPRS 3183115363 ACH DEBIT</t>
  </si>
  <si>
    <t>2025-11-03</t>
  </si>
  <si>
    <t xml:space="preserve">2025-11-03 | </t>
  </si>
  <si>
    <t>zw15ax351OtKQo4vAz3gIbP3g7APvDIndaeE3</t>
  </si>
  <si>
    <t>ACH Transaction - PAYPAL INST XFER 3183115363 ACH DEBIT</t>
  </si>
  <si>
    <t>dr86LMZ68DfEq1zN4eDnHdDp9MjDoPHQykYZg</t>
  </si>
  <si>
    <t>mbOKkqMKOAt54QMpbav1IyaR7XAaBrSv3RbpR</t>
  </si>
  <si>
    <t>Share Savings</t>
  </si>
  <si>
    <t>Dividend (GT20)DIVIDEND</t>
  </si>
  <si>
    <t>2025-10-31</t>
  </si>
  <si>
    <t xml:space="preserve">2025-10-31 | </t>
  </si>
  <si>
    <t>gxo1Pwb1oqF4DrQOKw8ZtgQXExRQJwuK3BJpZ</t>
  </si>
  <si>
    <t>5BvQnakQvRFxN3X7D405syPjVNMPrQS46yvpr</t>
  </si>
  <si>
    <t>CREDIT CARD</t>
  </si>
  <si>
    <t>Chase</t>
  </si>
  <si>
    <t>Amazon</t>
  </si>
  <si>
    <t>AMAZON MKTPL*BT8QS8IY1</t>
  </si>
  <si>
    <t>2025-11-11</t>
  </si>
  <si>
    <t>2025-11-11 | amazon mktpl*8s8879u43</t>
  </si>
  <si>
    <t>KnxVD6zeErFKrMg10r1jhDN9AOZZ88UmYZBZz</t>
  </si>
  <si>
    <t>Apple</t>
  </si>
  <si>
    <t>APPLE.COM/BILL</t>
  </si>
  <si>
    <t>2025-11-11 | apple</t>
  </si>
  <si>
    <t>yD0dmAJYNZHAw8xVkwVviaprq5nnJJTg1LnLM</t>
  </si>
  <si>
    <t>Central Market</t>
  </si>
  <si>
    <t>2025-11-11 | central market</t>
  </si>
  <si>
    <t>3kdPg9p5ZEfjoab9Mo9OFxZN1Rww33CAZejeQ</t>
  </si>
  <si>
    <t>Chipotle Mexican Grill</t>
  </si>
  <si>
    <t>N. Eating Out</t>
  </si>
  <si>
    <t>2025-11-11 | chipotle</t>
  </si>
  <si>
    <t>vwPQR749Yxtmzg64Lz4KunV8PO77YYU0NBd9B</t>
  </si>
  <si>
    <t>Kachai Tha</t>
  </si>
  <si>
    <t>KACHAI THA* KACHAI THA</t>
  </si>
  <si>
    <t>2025-11-11 | kachai tha* kachai tha</t>
  </si>
  <si>
    <t>3kdPg9p5ZEfjoab9Mo9OFxZN1Rww33CAZejrm</t>
  </si>
  <si>
    <t>Chocmochocolatier&amp;caf</t>
  </si>
  <si>
    <t>SPO*CHOCMOCHOCOLATIER&amp;CAF</t>
  </si>
  <si>
    <t>2025-11-11 | spo*chocmochocolatier&amp;caf</t>
  </si>
  <si>
    <t>RDOpmMzew5HP5Jz0x507Snam86QxNPU9RD6wq</t>
  </si>
  <si>
    <t>Taco Bell</t>
  </si>
  <si>
    <t>2025-11-11 | taco bell</t>
  </si>
  <si>
    <t>QLxnOMzedZHMZk9DoZD1T0vnRQXoK8I9jmQ8z</t>
  </si>
  <si>
    <t>Target</t>
  </si>
  <si>
    <t>P. Paxton Fun</t>
  </si>
  <si>
    <t>2025-11-11 | target</t>
  </si>
  <si>
    <t>nM9gaZyJKksn0ZX3v03KfjobmJQ47xtj4emzM</t>
  </si>
  <si>
    <t>Amazon Prime Video</t>
  </si>
  <si>
    <t>Prime Video *BT90P2DZ1</t>
  </si>
  <si>
    <t>2025-11-10 | prime video tvod</t>
  </si>
  <si>
    <t>3kdPg9p5ZEfjoab9Mo9Efag38zKYQAIPBp5y5</t>
  </si>
  <si>
    <t>Safeway</t>
  </si>
  <si>
    <t>2025-11-10 | safeway</t>
  </si>
  <si>
    <t>03gLZxpJKVSrjOkbBjbDux9NbD3K8NtxpaERd</t>
  </si>
  <si>
    <t>Piatti</t>
  </si>
  <si>
    <t>TST* PIATTI - SEATTLE</t>
  </si>
  <si>
    <t>2025-11-10 | tst* piatti - seattle</t>
  </si>
  <si>
    <t>BgkJ61zeZBs8BoQAYBAMt6vbojnYB9UvkYpEn</t>
  </si>
  <si>
    <t>AMAZON MKTPL*BT4Y37GH0</t>
  </si>
  <si>
    <t>2025-11-09</t>
  </si>
  <si>
    <t>2025-11-09 | amazon mktpl*n43063jj1</t>
  </si>
  <si>
    <t>oE079oK8gAFjNqVeLNeMi09jbwZoYjfdwP57D</t>
  </si>
  <si>
    <t>AMAZON MKTPL*BT7G361U1</t>
  </si>
  <si>
    <t>2025-11-09 | amazon mktpl*qb9jp76g3</t>
  </si>
  <si>
    <t>7j9yDZe7wpFEAYQOoAOXUVDnO4vN1nU4eqrN3</t>
  </si>
  <si>
    <t>AMAZON MKTPLACE PMTS</t>
  </si>
  <si>
    <t>2025-11-09 | amazon mktplace pmts</t>
  </si>
  <si>
    <t>rnEO6Zvo0jFaNRPodNoLUKEALa4D6ATKX850D</t>
  </si>
  <si>
    <t>Dick's Sporting Goods</t>
  </si>
  <si>
    <t>DICK'S Sporting Goods</t>
  </si>
  <si>
    <t>2025-11-09 | dick's sporting goods</t>
  </si>
  <si>
    <t>8rQKyOp96XFyqbZNKqNVIv3gKeMDdgCmD9r0e</t>
  </si>
  <si>
    <t>Ferguson Home</t>
  </si>
  <si>
    <t>FERGUSON HOME</t>
  </si>
  <si>
    <t>2025-11-09 | ferguson ent 2573</t>
  </si>
  <si>
    <t>goyxpdLvD1UBPbwJkPJ4f0wNPAYQ8NfMJD9RZ</t>
  </si>
  <si>
    <t>For The Love Of Alex</t>
  </si>
  <si>
    <t>FOR THE LOVE OF ALEX</t>
  </si>
  <si>
    <t>T. Philanthropy</t>
  </si>
  <si>
    <t>2025-11-09 | for the love of alex</t>
  </si>
  <si>
    <t>5v6Bj9pb7QILmz4qpmqxUEQ1qYdPk1hbvKzor</t>
  </si>
  <si>
    <t>Goodwill</t>
  </si>
  <si>
    <t>2025-11-09 | goodwill</t>
  </si>
  <si>
    <t>aaAvPyzBqNT6rgOdardksa1yrAVMpyTy6epEN</t>
  </si>
  <si>
    <t>The Home Depot</t>
  </si>
  <si>
    <t>Home Depot</t>
  </si>
  <si>
    <t>2025-11-09 | home depot</t>
  </si>
  <si>
    <t>JQL9Nwze5jsajAYoBjoJUxDeAJE93etAypVnn</t>
  </si>
  <si>
    <t>ZkLq9bzwdMfR9543Y931FPpE9Y5AbECzmx7ON</t>
  </si>
  <si>
    <t>bxb04qz3BdCJB3k8PB8zHnbX3ymvJXCxnmv1V</t>
  </si>
  <si>
    <t>Petco</t>
  </si>
  <si>
    <t>2025-11-09 | petco</t>
  </si>
  <si>
    <t>4Awq0zpo5RF3YX67mY7DUe9D7R01xDC13Q6Oo</t>
  </si>
  <si>
    <t>UPS</t>
  </si>
  <si>
    <t>X. Other</t>
  </si>
  <si>
    <t>2025-11-09 | ups</t>
  </si>
  <si>
    <t>xLgpRVxYN8HmdPnjbdj3UkEd3gRvDduAdv3n4</t>
  </si>
  <si>
    <t>CVS</t>
  </si>
  <si>
    <t>E. Pet Stuff</t>
  </si>
  <si>
    <t>2025-11-07 | cvs</t>
  </si>
  <si>
    <t>nM9gaZyJKksn0ZX3v03aI8XQaPMVaqUjnjYEg</t>
  </si>
  <si>
    <t>ExxonMobil</t>
  </si>
  <si>
    <t>U. Gas and Travel</t>
  </si>
  <si>
    <t>2025-11-07 | exxonmobil</t>
  </si>
  <si>
    <t>OwPRbMzeaJtPJqNKEJKjiOkpdJQZdjspapznR</t>
  </si>
  <si>
    <t>2025-11-07 | kachai tha* kachai tha</t>
  </si>
  <si>
    <t>VBrL0bze17C97oPyV7ymuM5YwJmAw8hnwndyV</t>
  </si>
  <si>
    <t>Payment Thank You-Mobile</t>
  </si>
  <si>
    <t xml:space="preserve">2025-11-07 | </t>
  </si>
  <si>
    <t>pRa9POkZNvfrLoNzxLz0UAEyLBd7L6iA1AXKb</t>
  </si>
  <si>
    <t>RVT*NORTH KITSAP</t>
  </si>
  <si>
    <t>2025-11-07 | rvt*north kitsap</t>
  </si>
  <si>
    <t>94PkdnpVLNF9rM0b4rbVuNKmed38egt6D6LOY</t>
  </si>
  <si>
    <t>Commuter Comforts</t>
  </si>
  <si>
    <t>TST* COMMUTER COMFORTS</t>
  </si>
  <si>
    <t>2025-11-07 | tst* commuter comforts</t>
  </si>
  <si>
    <t>RDOpmMzew5HP5Jz0x50aiZpQLBXELVH9Q9pLZ</t>
  </si>
  <si>
    <t>The Washington Post</t>
  </si>
  <si>
    <t>TWP*SUB72861547</t>
  </si>
  <si>
    <t>Z. Membership</t>
  </si>
  <si>
    <t>2025-11-07 | twp*sub72861547</t>
  </si>
  <si>
    <t>EVk5BYzeZKCdKJZqaKqPHMgPe4Opeqhdkde9b</t>
  </si>
  <si>
    <t>Wsferries</t>
  </si>
  <si>
    <t>WSFERRIES-BAINBRIDGE</t>
  </si>
  <si>
    <t>2025-11-07 | wsferries-bainbridge</t>
  </si>
  <si>
    <t>MXxM5DzeQaUAabvV8aVmuKyk6L9n6YS0e07Jr</t>
  </si>
  <si>
    <t>Wsferries Colman Dock</t>
  </si>
  <si>
    <t>WSFERRIES-COLMAN DOCK</t>
  </si>
  <si>
    <t>2025-11-07 | wsferries-colman dock</t>
  </si>
  <si>
    <t>QLxnOMzedZHMZk9DoZD4cPpX6qAB6Vf9D957a</t>
  </si>
  <si>
    <t>Amazon.com*BT19H1OH1</t>
  </si>
  <si>
    <t>2025-11-06 | amazon.com*bt19h1oh1</t>
  </si>
  <si>
    <t>xLgpRVxYN8HmdPnjbdjMf1X0NzpegbIKRrwVQ</t>
  </si>
  <si>
    <t>2025-11-06 | safeway</t>
  </si>
  <si>
    <t>aaAvPyzBqNT6rgOdardBT5oxwPNzAgt1jYJzb</t>
  </si>
  <si>
    <t>Michaels</t>
  </si>
  <si>
    <t>MICHAELS.COM</t>
  </si>
  <si>
    <t>2025-11-05 | michaels</t>
  </si>
  <si>
    <t>rnEO6Zvo0jFaNRPodNoMfvezxqmbadUwZEqnA</t>
  </si>
  <si>
    <t>2025-11-05 | safeway</t>
  </si>
  <si>
    <t>4Awq0zpo5RF3YX67mY7qfaPBwM6QRVHnANPZq</t>
  </si>
  <si>
    <t>New York Times</t>
  </si>
  <si>
    <t>NYTIMES DISC*</t>
  </si>
  <si>
    <t>2025-11-04 | nytimes disc*</t>
  </si>
  <si>
    <t>j7MZ8LPrqBFEkdB5Rk5rfLrYKVz0qBHjZOgbQ</t>
  </si>
  <si>
    <t>ampm</t>
  </si>
  <si>
    <t>ARCO#82191POULSBO AMPM</t>
  </si>
  <si>
    <t>2025-11-03 | arco#82191poulsbo ampm</t>
  </si>
  <si>
    <t>03gLZxpJKVSrjOkbBjbLSEVwgPq5DAIve8ZDV</t>
  </si>
  <si>
    <t>2025-11-03 | michaels</t>
  </si>
  <si>
    <t>AbJxvDze7qtRqzvyBqyxtmXaJ7qxzoinNgrOw</t>
  </si>
  <si>
    <t>2025-11-03 | target</t>
  </si>
  <si>
    <t>vwPQR749Yxtmzg64Lz4Mf4De53P86Lt0MNxv0</t>
  </si>
  <si>
    <t>k9N5rDq4B3FXpvdJBpJ4i0xmO4PMjBHv9wzKo</t>
  </si>
  <si>
    <t>Costco</t>
  </si>
  <si>
    <t>2025-11-02</t>
  </si>
  <si>
    <t>2025-11-02 | costco</t>
  </si>
  <si>
    <t>3kdPg9p5ZEfjoab9Mo9PhXE7gd1NjVUADZ3Oe</t>
  </si>
  <si>
    <t>Microsoft</t>
  </si>
  <si>
    <t>MICROSOFT*MICROSOFT 36</t>
  </si>
  <si>
    <t>2025-11-02 | microsoft*microsoft 36</t>
  </si>
  <si>
    <t>KnxVD6zeErFKrMg10r1pCzdKEkA9r1HmdYazQ</t>
  </si>
  <si>
    <t>HBO Max</t>
  </si>
  <si>
    <t>Roku for WarnerMedia Glob</t>
  </si>
  <si>
    <t>2025-11-02 | roku for warnermedia glob</t>
  </si>
  <si>
    <t>yD0dmAJYNZHAw8xVkwVMH1x7ENqrDkIgX1eJX</t>
  </si>
  <si>
    <t>Walmart</t>
  </si>
  <si>
    <t>2025-11-02 | walmart</t>
  </si>
  <si>
    <t>BgkJ61zeZBs8BoQAYBAJuEgrvK48wkI74qPOz</t>
  </si>
  <si>
    <t>17990-SMILE BRANDS</t>
  </si>
  <si>
    <t>1ygDA9p85OunXwQg8XgDhoJ6057LVyfgbBz6M</t>
  </si>
  <si>
    <t>ANIMAL EMERGENCY AND SPEC</t>
  </si>
  <si>
    <t>2025-10-31 | animal emergency and spec</t>
  </si>
  <si>
    <t>P6XQxMze58U38jezp8zAfm3zPyENDaiAwQ0bL</t>
  </si>
  <si>
    <t>Burger King</t>
  </si>
  <si>
    <t>2025-10-31 | burger king #17400</t>
  </si>
  <si>
    <t>D9mZEKzeXyFkyEvo4yowt36vZQmkMXsRYvxO7</t>
  </si>
  <si>
    <t>2025-10-31 | central market</t>
  </si>
  <si>
    <t>qQqVaZA5y0s4LyvNxLNMuAORw0vb7xiENZmA7</t>
  </si>
  <si>
    <t>2025-10-31 | target</t>
  </si>
  <si>
    <t>LpxO1Lzek4t14koeR4epF0r1yqVnMLHBoKbRr</t>
  </si>
  <si>
    <t>Signature Visa</t>
  </si>
  <si>
    <t>USAA</t>
  </si>
  <si>
    <t>YouTube</t>
  </si>
  <si>
    <t>GOOGLE YOUTUBE SUBSCRI402-935-7733</t>
  </si>
  <si>
    <t>2025-11-09 | youtube</t>
  </si>
  <si>
    <t>6MXRraXa0BCbx0vR1PeXiq5g8kOEVvfw1dnk5</t>
  </si>
  <si>
    <t>USAA CREDIT CARD PAYMENT</t>
  </si>
  <si>
    <t>2025-11-06 | usaa</t>
  </si>
  <si>
    <t>oyNxLJNJE1fDJQ1AZjKbfLB4POOE4zU45pxK6</t>
  </si>
  <si>
    <t>2025-11-05 | apple</t>
  </si>
  <si>
    <t>bmp69npnxKtxKwmdvJenUPq9Z88r9KtJvNbK1</t>
  </si>
  <si>
    <t>Nationwide</t>
  </si>
  <si>
    <t>NATIONWIDE PET INS</t>
  </si>
  <si>
    <t>D. Pet Insurance</t>
  </si>
  <si>
    <t>2025-11-01</t>
  </si>
  <si>
    <t>2025-11-01 | nationwide pet insurance</t>
  </si>
  <si>
    <t>7zXamdXdjgfZqv0mVEK4C5Y3wXXm3pC0rwPp7</t>
  </si>
  <si>
    <t>g6OqzJOJoAFo9NY1KBL0TkqJrLLdJDI89B7nw</t>
  </si>
  <si>
    <t xml:space="preserve">Last Update: </t>
  </si>
  <si>
    <t>Today's Date</t>
  </si>
  <si>
    <t>Start of Month</t>
  </si>
  <si>
    <t>End of Month</t>
  </si>
  <si>
    <t>Budget</t>
  </si>
  <si>
    <t>Spent</t>
  </si>
  <si>
    <t>Left</t>
  </si>
  <si>
    <t>Left of Month</t>
  </si>
  <si>
    <t>I. Electricity</t>
  </si>
  <si>
    <t>Days Left</t>
  </si>
  <si>
    <t>% Left</t>
  </si>
  <si>
    <t>M. Health/Fitness</t>
  </si>
  <si>
    <t>Q. Medical</t>
  </si>
  <si>
    <t>V. Other - Shopping</t>
  </si>
  <si>
    <t>W. Other - Home</t>
  </si>
  <si>
    <t>Y. Vacation Expense</t>
  </si>
  <si>
    <t>At Budget</t>
  </si>
  <si>
    <t>Z. Memb - MSFT</t>
  </si>
  <si>
    <t>ZA. Car Expense</t>
  </si>
  <si>
    <t>Total</t>
  </si>
  <si>
    <t>% Of Budget</t>
  </si>
  <si>
    <t>% Budgeted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</si>
</sst>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mmm\-yy;@"/>
    <numFmt numFmtId="165" formatCode="[$-409]m/d/yy\ h:mm\ AM/PM;@"/>
  </numFmts>
  <fonts count="10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4B1E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ED3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 style="medium">
        <color indexed="64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3" borderId="5" xfId="0" applyFont="1" applyFill="1" applyBorder="1" applyAlignment="1">
      <alignment wrapText="1"/>
    </xf>
    <xf numFmtId="165" fontId="3" fillId="3" borderId="6" xfId="0" applyNumberFormat="1" applyFont="1" applyFill="1" applyBorder="1" applyAlignment="1">
      <alignment wrapText="1"/>
    </xf>
    <xf numFmtId="0" fontId="5" fillId="4" borderId="2" xfId="0" applyFont="1" applyFill="1" applyBorder="1" applyAlignment="1">
      <alignment horizontal="center" vertical="center"/>
    </xf>
    <xf numFmtId="14" fontId="6" fillId="0" borderId="0" xfId="0" applyNumberFormat="1" applyFont="1"/>
    <xf numFmtId="14" fontId="7" fillId="0" borderId="0" xfId="0" applyNumberFormat="1" applyFont="1"/>
    <xf numFmtId="0" fontId="0" fillId="6" borderId="9" xfId="0" applyFill="1" applyBorder="1"/>
    <xf numFmtId="7" fontId="0" fillId="6" borderId="10" xfId="1" applyNumberFormat="1" applyFont="1" applyFill="1" applyBorder="1"/>
    <xf numFmtId="7" fontId="0" fillId="7" borderId="10" xfId="1" applyNumberFormat="1" applyFont="1" applyFill="1" applyBorder="1" applyAlignment="1">
      <alignment horizontal="center" vertical="center"/>
    </xf>
    <xf numFmtId="9" fontId="0" fillId="7" borderId="11" xfId="2" applyFont="1" applyFill="1" applyBorder="1" applyAlignment="1">
      <alignment horizontal="center" vertical="center"/>
    </xf>
    <xf numFmtId="0" fontId="0" fillId="8" borderId="9" xfId="0" applyFill="1" applyBorder="1"/>
    <xf numFmtId="1" fontId="0" fillId="8" borderId="12" xfId="0" applyNumberFormat="1" applyFill="1" applyBorder="1"/>
    <xf numFmtId="7" fontId="0" fillId="6" borderId="13" xfId="0" applyNumberFormat="1" applyFill="1" applyBorder="1"/>
    <xf numFmtId="7" fontId="0" fillId="6" borderId="1" xfId="1" applyNumberFormat="1" applyFont="1" applyFill="1" applyBorder="1"/>
    <xf numFmtId="7" fontId="0" fillId="7" borderId="1" xfId="1" applyNumberFormat="1" applyFont="1" applyFill="1" applyBorder="1" applyAlignment="1">
      <alignment horizontal="center" vertical="center"/>
    </xf>
    <xf numFmtId="0" fontId="0" fillId="8" borderId="14" xfId="0" applyFill="1" applyBorder="1"/>
    <xf numFmtId="9" fontId="0" fillId="8" borderId="15" xfId="2" applyFont="1" applyFill="1" applyBorder="1"/>
    <xf numFmtId="0" fontId="0" fillId="6" borderId="16" xfId="0" applyFill="1" applyBorder="1"/>
    <xf numFmtId="7" fontId="0" fillId="6" borderId="17" xfId="1" applyNumberFormat="1" applyFont="1" applyFill="1" applyBorder="1"/>
    <xf numFmtId="7" fontId="0" fillId="7" borderId="17" xfId="1" applyNumberFormat="1" applyFont="1" applyFill="1" applyBorder="1" applyAlignment="1">
      <alignment horizontal="center" vertical="center"/>
    </xf>
    <xf numFmtId="9" fontId="0" fillId="7" borderId="18" xfId="2" applyFont="1" applyFill="1" applyBorder="1" applyAlignment="1">
      <alignment horizontal="center" vertical="center"/>
    </xf>
    <xf numFmtId="7" fontId="3" fillId="6" borderId="19" xfId="0" applyNumberFormat="1" applyFont="1" applyFill="1" applyBorder="1"/>
    <xf numFmtId="7" fontId="3" fillId="6" borderId="20" xfId="1" applyNumberFormat="1" applyFont="1" applyFill="1" applyBorder="1"/>
    <xf numFmtId="7" fontId="3" fillId="7" borderId="20" xfId="1" applyNumberFormat="1" applyFont="1" applyFill="1" applyBorder="1" applyAlignment="1">
      <alignment horizontal="center" vertical="center"/>
    </xf>
    <xf numFmtId="9" fontId="3" fillId="7" borderId="21" xfId="2" applyFont="1" applyFill="1" applyBorder="1" applyAlignment="1">
      <alignment horizontal="center" vertical="center"/>
    </xf>
    <xf numFmtId="7" fontId="0" fillId="6" borderId="9" xfId="0" applyNumberFormat="1" applyFill="1" applyBorder="1"/>
    <xf numFmtId="9" fontId="0" fillId="7" borderId="12" xfId="2" applyFont="1" applyFill="1" applyBorder="1" applyAlignment="1">
      <alignment horizontal="center" vertical="center"/>
    </xf>
    <xf numFmtId="9" fontId="0" fillId="7" borderId="22" xfId="2" applyFont="1" applyFill="1" applyBorder="1" applyAlignment="1">
      <alignment horizontal="center" vertical="center"/>
    </xf>
    <xf numFmtId="0" fontId="0" fillId="6" borderId="13" xfId="0" applyFill="1" applyBorder="1"/>
    <xf numFmtId="7" fontId="0" fillId="6" borderId="16" xfId="0" applyNumberFormat="1" applyFill="1" applyBorder="1"/>
    <xf numFmtId="7" fontId="3" fillId="6" borderId="23" xfId="0" applyNumberFormat="1" applyFont="1" applyFill="1" applyBorder="1"/>
    <xf numFmtId="7" fontId="3" fillId="6" borderId="24" xfId="1" applyNumberFormat="1" applyFont="1" applyFill="1" applyBorder="1"/>
    <xf numFmtId="7" fontId="3" fillId="7" borderId="24" xfId="1" applyNumberFormat="1" applyFont="1" applyFill="1" applyBorder="1" applyAlignment="1">
      <alignment horizontal="center" vertical="center"/>
    </xf>
    <xf numFmtId="9" fontId="3" fillId="7" borderId="25" xfId="2" applyFont="1" applyFill="1" applyBorder="1" applyAlignment="1">
      <alignment horizontal="center" vertical="center"/>
    </xf>
    <xf numFmtId="7" fontId="3" fillId="6" borderId="16" xfId="0" applyNumberFormat="1" applyFont="1" applyFill="1" applyBorder="1"/>
    <xf numFmtId="7" fontId="3" fillId="6" borderId="17" xfId="1" applyNumberFormat="1" applyFont="1" applyFill="1" applyBorder="1"/>
    <xf numFmtId="7" fontId="3" fillId="7" borderId="17" xfId="1" applyNumberFormat="1" applyFont="1" applyFill="1" applyBorder="1" applyAlignment="1">
      <alignment horizontal="center" vertical="center"/>
    </xf>
    <xf numFmtId="9" fontId="3" fillId="7" borderId="18" xfId="2" applyFont="1" applyFill="1" applyBorder="1" applyAlignment="1">
      <alignment horizontal="center" vertical="center"/>
    </xf>
    <xf numFmtId="7" fontId="3" fillId="6" borderId="26" xfId="0" applyNumberFormat="1" applyFont="1" applyFill="1" applyBorder="1"/>
    <xf numFmtId="7" fontId="3" fillId="6" borderId="27" xfId="1" applyNumberFormat="1" applyFont="1" applyFill="1" applyBorder="1"/>
    <xf numFmtId="7" fontId="3" fillId="7" borderId="27" xfId="1" applyNumberFormat="1" applyFont="1" applyFill="1" applyBorder="1" applyAlignment="1">
      <alignment horizontal="center" vertical="center"/>
    </xf>
    <xf numFmtId="9" fontId="3" fillId="7" borderId="28" xfId="2" applyFont="1" applyFill="1" applyBorder="1" applyAlignment="1">
      <alignment horizontal="center" vertical="center"/>
    </xf>
    <xf numFmtId="7" fontId="2" fillId="6" borderId="10" xfId="1" applyNumberFormat="1" applyFont="1" applyFill="1" applyBorder="1"/>
    <xf numFmtId="7" fontId="2" fillId="7" borderId="10" xfId="1" applyNumberFormat="1" applyFont="1" applyFill="1" applyBorder="1" applyAlignment="1">
      <alignment horizontal="center" vertical="center"/>
    </xf>
    <xf numFmtId="9" fontId="2" fillId="7" borderId="12" xfId="2" applyFont="1" applyFill="1" applyBorder="1" applyAlignment="1">
      <alignment horizontal="center" vertical="center"/>
    </xf>
    <xf numFmtId="7" fontId="2" fillId="6" borderId="1" xfId="1" applyNumberFormat="1" applyFont="1" applyFill="1" applyBorder="1"/>
    <xf numFmtId="7" fontId="2" fillId="7" borderId="1" xfId="1" applyNumberFormat="1" applyFont="1" applyFill="1" applyBorder="1" applyAlignment="1">
      <alignment horizontal="center" vertical="center"/>
    </xf>
    <xf numFmtId="9" fontId="2" fillId="7" borderId="22" xfId="2" applyFont="1" applyFill="1" applyBorder="1" applyAlignment="1">
      <alignment horizontal="center" vertical="center"/>
    </xf>
    <xf numFmtId="7" fontId="0" fillId="6" borderId="14" xfId="0" applyNumberFormat="1" applyFill="1" applyBorder="1"/>
    <xf numFmtId="7" fontId="0" fillId="6" borderId="29" xfId="1" applyNumberFormat="1" applyFont="1" applyFill="1" applyBorder="1"/>
    <xf numFmtId="7" fontId="0" fillId="7" borderId="29" xfId="1" applyNumberFormat="1" applyFont="1" applyFill="1" applyBorder="1" applyAlignment="1">
      <alignment horizontal="center" vertical="center"/>
    </xf>
    <xf numFmtId="9" fontId="0" fillId="7" borderId="15" xfId="2" applyFont="1" applyFill="1" applyBorder="1" applyAlignment="1">
      <alignment horizontal="center" vertical="center"/>
    </xf>
    <xf numFmtId="0" fontId="8" fillId="0" borderId="0" xfId="0" applyFont="1"/>
    <xf numFmtId="0" fontId="0" fillId="0" borderId="30" xfId="0" applyBorder="1"/>
    <xf numFmtId="10" fontId="0" fillId="6" borderId="31" xfId="2" applyNumberFormat="1" applyFont="1" applyFill="1" applyBorder="1"/>
    <xf numFmtId="10" fontId="0" fillId="7" borderId="32" xfId="2" applyNumberFormat="1" applyFont="1" applyFill="1" applyBorder="1" applyAlignment="1">
      <alignment horizontal="center" vertical="center"/>
    </xf>
    <xf numFmtId="9" fontId="8" fillId="0" borderId="0" xfId="2" applyFont="1" applyFill="1" applyBorder="1"/>
    <xf numFmtId="44" fontId="0" fillId="0" borderId="0" xfId="1" applyFont="1" applyFill="1" applyBorder="1"/>
    <xf numFmtId="44" fontId="0" fillId="0" borderId="0" xfId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9" fontId="0" fillId="0" borderId="0" xfId="2" applyFont="1" applyFill="1" applyBorder="1"/>
    <xf numFmtId="44" fontId="3" fillId="0" borderId="0" xfId="1" applyFont="1" applyFill="1" applyBorder="1"/>
    <xf numFmtId="10" fontId="9" fillId="0" borderId="0" xfId="2" applyNumberFormat="1" applyFont="1" applyFill="1" applyBorder="1"/>
    <xf numFmtId="164" fontId="4" fillId="2" borderId="2" xfId="0" applyNumberFormat="1" applyFont="1" applyFill="1" applyBorder="1" applyAlignment="1">
      <alignment horizontal="center"/>
    </xf>
    <xf numFmtId="164" fontId="4" fillId="2" borderId="3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5609a5233c1405a/1.%20Life%20Stuff/Budget/Current%20Budget%20-%202025.xlsm" TargetMode="External"/><Relationship Id="rId1" Type="http://schemas.openxmlformats.org/officeDocument/2006/relationships/externalLinkPath" Target="/35609a5233c1405a/1.%20Life%20Stuff/Budget/Current%20Budget%20-%20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uick Look"/>
      <sheetName val="Budget - 2025"/>
      <sheetName val="Budget - 2026"/>
      <sheetName val="Student Loans"/>
      <sheetName val="Nate Budget"/>
      <sheetName val="Mulch"/>
    </sheetNames>
    <sheetDataSet>
      <sheetData sheetId="0"/>
      <sheetData sheetId="1">
        <row r="85">
          <cell r="A85">
            <v>45974.307754629626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82"/>
  <sheetViews>
    <sheetView workbookViewId="0">
      <selection activeCell="F9" sqref="F9"/>
    </sheetView>
  </sheetViews>
  <sheetFormatPr defaultRowHeight="14.75"/>
  <cols>
    <col min="4" max="4" width="12.26953125" customWidth="1"/>
    <col min="9" max="9" width="49.6796875" bestFit="1" customWidth="1"/>
    <col min="10" max="10" width="41.86328125" bestFit="1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t="s">
        <v>10</v>
      </c>
      <c r="B2" t="s">
        <v>11</v>
      </c>
      <c r="D2" t="s">
        <v>12</v>
      </c>
      <c r="E2" t="s">
        <v>13</v>
      </c>
      <c r="G2" t="s">
        <v>14</v>
      </c>
      <c r="H2">
        <v>259.7</v>
      </c>
      <c r="I2" t="s">
        <v>15</v>
      </c>
      <c r="J2" t="s">
        <v>16</v>
      </c>
    </row>
    <row r="3" spans="1:10">
      <c r="A3" t="s">
        <v>10</v>
      </c>
      <c r="B3" t="s">
        <v>11</v>
      </c>
      <c r="D3" t="s">
        <v>12</v>
      </c>
      <c r="E3" t="s">
        <v>13</v>
      </c>
      <c r="G3" t="s">
        <v>14</v>
      </c>
      <c r="H3">
        <v>0.87</v>
      </c>
      <c r="I3" t="s">
        <v>15</v>
      </c>
      <c r="J3" t="s">
        <v>17</v>
      </c>
    </row>
    <row r="4" spans="1:10">
      <c r="A4" t="s">
        <v>10</v>
      </c>
      <c r="B4" t="s">
        <v>11</v>
      </c>
      <c r="C4" t="s">
        <v>18</v>
      </c>
      <c r="D4" t="s">
        <v>19</v>
      </c>
      <c r="E4" t="s">
        <v>20</v>
      </c>
      <c r="G4" t="s">
        <v>14</v>
      </c>
      <c r="H4">
        <v>-173.22</v>
      </c>
      <c r="I4" t="s">
        <v>21</v>
      </c>
      <c r="J4" t="s">
        <v>22</v>
      </c>
    </row>
    <row r="5" spans="1:10">
      <c r="A5" t="s">
        <v>10</v>
      </c>
      <c r="B5" t="s">
        <v>11</v>
      </c>
      <c r="D5" t="s">
        <v>23</v>
      </c>
      <c r="E5" t="s">
        <v>24</v>
      </c>
      <c r="G5" t="s">
        <v>14</v>
      </c>
      <c r="H5">
        <v>-120</v>
      </c>
      <c r="I5" t="s">
        <v>25</v>
      </c>
      <c r="J5" t="s">
        <v>26</v>
      </c>
    </row>
    <row r="6" spans="1:10">
      <c r="A6" t="s">
        <v>10</v>
      </c>
      <c r="B6" t="s">
        <v>11</v>
      </c>
      <c r="D6" t="s">
        <v>27</v>
      </c>
      <c r="E6" t="s">
        <v>28</v>
      </c>
      <c r="G6" t="s">
        <v>29</v>
      </c>
      <c r="H6">
        <v>-3222.22</v>
      </c>
      <c r="I6" t="s">
        <v>30</v>
      </c>
      <c r="J6" t="s">
        <v>31</v>
      </c>
    </row>
    <row r="7" spans="1:10">
      <c r="A7" t="s">
        <v>10</v>
      </c>
      <c r="B7" t="s">
        <v>11</v>
      </c>
      <c r="D7" t="s">
        <v>32</v>
      </c>
      <c r="E7" t="s">
        <v>33</v>
      </c>
      <c r="G7" t="s">
        <v>29</v>
      </c>
      <c r="H7">
        <v>-13.22</v>
      </c>
      <c r="I7" t="s">
        <v>34</v>
      </c>
      <c r="J7" t="s">
        <v>35</v>
      </c>
    </row>
    <row r="8" spans="1:10">
      <c r="A8" t="s">
        <v>10</v>
      </c>
      <c r="B8" t="s">
        <v>11</v>
      </c>
      <c r="D8" t="s">
        <v>36</v>
      </c>
      <c r="E8" t="s">
        <v>37</v>
      </c>
      <c r="G8" t="s">
        <v>29</v>
      </c>
      <c r="H8">
        <v>-150.24</v>
      </c>
      <c r="I8" t="s">
        <v>38</v>
      </c>
      <c r="J8" t="s">
        <v>39</v>
      </c>
    </row>
    <row r="9" spans="1:10">
      <c r="A9" t="s">
        <v>10</v>
      </c>
      <c r="B9" t="s">
        <v>11</v>
      </c>
      <c r="D9" t="s">
        <v>40</v>
      </c>
      <c r="E9" t="s">
        <v>20</v>
      </c>
      <c r="G9" t="s">
        <v>29</v>
      </c>
      <c r="H9">
        <v>-1</v>
      </c>
      <c r="I9" t="s">
        <v>41</v>
      </c>
      <c r="J9" t="s">
        <v>42</v>
      </c>
    </row>
    <row r="10" spans="1:10">
      <c r="A10" t="s">
        <v>10</v>
      </c>
      <c r="B10" t="s">
        <v>11</v>
      </c>
      <c r="D10" t="s">
        <v>43</v>
      </c>
      <c r="E10" t="s">
        <v>20</v>
      </c>
      <c r="G10" t="s">
        <v>29</v>
      </c>
      <c r="H10">
        <v>-42.5</v>
      </c>
      <c r="I10" t="s">
        <v>44</v>
      </c>
      <c r="J10" t="s">
        <v>45</v>
      </c>
    </row>
    <row r="11" spans="1:10">
      <c r="A11" t="s">
        <v>10</v>
      </c>
      <c r="B11" t="s">
        <v>11</v>
      </c>
      <c r="C11" t="s">
        <v>46</v>
      </c>
      <c r="D11" t="s">
        <v>46</v>
      </c>
      <c r="E11" t="s">
        <v>47</v>
      </c>
      <c r="G11" t="s">
        <v>29</v>
      </c>
      <c r="H11">
        <v>-105</v>
      </c>
      <c r="I11" t="s">
        <v>48</v>
      </c>
      <c r="J11" t="s">
        <v>49</v>
      </c>
    </row>
    <row r="12" spans="1:10">
      <c r="A12" t="s">
        <v>10</v>
      </c>
      <c r="B12" t="s">
        <v>11</v>
      </c>
      <c r="C12" t="s">
        <v>18</v>
      </c>
      <c r="D12" t="s">
        <v>50</v>
      </c>
      <c r="E12" t="s">
        <v>20</v>
      </c>
      <c r="G12" t="s">
        <v>29</v>
      </c>
      <c r="H12">
        <v>-9.98</v>
      </c>
      <c r="I12" t="s">
        <v>51</v>
      </c>
      <c r="J12" t="s">
        <v>52</v>
      </c>
    </row>
    <row r="13" spans="1:10">
      <c r="A13" t="s">
        <v>10</v>
      </c>
      <c r="B13" t="s">
        <v>11</v>
      </c>
      <c r="C13" t="s">
        <v>53</v>
      </c>
      <c r="D13" t="s">
        <v>54</v>
      </c>
      <c r="E13" t="s">
        <v>55</v>
      </c>
      <c r="G13" t="s">
        <v>56</v>
      </c>
      <c r="H13">
        <v>-235.75</v>
      </c>
      <c r="I13" t="s">
        <v>57</v>
      </c>
      <c r="J13" t="s">
        <v>58</v>
      </c>
    </row>
    <row r="14" spans="1:10">
      <c r="A14" t="s">
        <v>10</v>
      </c>
      <c r="B14" t="s">
        <v>11</v>
      </c>
      <c r="D14" t="s">
        <v>59</v>
      </c>
      <c r="E14" t="s">
        <v>37</v>
      </c>
      <c r="G14" t="s">
        <v>56</v>
      </c>
      <c r="H14">
        <v>-38.74</v>
      </c>
      <c r="I14" t="s">
        <v>60</v>
      </c>
      <c r="J14" t="s">
        <v>61</v>
      </c>
    </row>
    <row r="15" spans="1:10">
      <c r="A15" t="s">
        <v>10</v>
      </c>
      <c r="B15" t="s">
        <v>11</v>
      </c>
      <c r="D15" t="s">
        <v>62</v>
      </c>
      <c r="E15" t="s">
        <v>28</v>
      </c>
      <c r="G15" t="s">
        <v>63</v>
      </c>
      <c r="H15">
        <v>3881.07</v>
      </c>
      <c r="I15" t="s">
        <v>64</v>
      </c>
      <c r="J15" t="s">
        <v>65</v>
      </c>
    </row>
    <row r="16" spans="1:10">
      <c r="A16" t="s">
        <v>10</v>
      </c>
      <c r="B16" t="s">
        <v>11</v>
      </c>
      <c r="D16" t="s">
        <v>66</v>
      </c>
      <c r="E16" t="s">
        <v>37</v>
      </c>
      <c r="G16" t="s">
        <v>67</v>
      </c>
      <c r="H16">
        <v>-364.46</v>
      </c>
      <c r="I16" t="s">
        <v>68</v>
      </c>
      <c r="J16" t="s">
        <v>69</v>
      </c>
    </row>
    <row r="17" spans="1:10">
      <c r="A17" t="s">
        <v>10</v>
      </c>
      <c r="B17" t="s">
        <v>11</v>
      </c>
      <c r="D17" t="s">
        <v>70</v>
      </c>
      <c r="E17" t="s">
        <v>28</v>
      </c>
      <c r="G17" t="s">
        <v>67</v>
      </c>
      <c r="H17">
        <v>245.81</v>
      </c>
      <c r="I17" t="s">
        <v>71</v>
      </c>
      <c r="J17" t="s">
        <v>72</v>
      </c>
    </row>
    <row r="18" spans="1:10">
      <c r="A18" t="s">
        <v>10</v>
      </c>
      <c r="B18" t="s">
        <v>11</v>
      </c>
      <c r="D18" t="s">
        <v>70</v>
      </c>
      <c r="E18" t="s">
        <v>28</v>
      </c>
      <c r="G18" t="s">
        <v>67</v>
      </c>
      <c r="H18">
        <v>37.9</v>
      </c>
      <c r="I18" t="s">
        <v>71</v>
      </c>
      <c r="J18" t="s">
        <v>73</v>
      </c>
    </row>
    <row r="19" spans="1:10">
      <c r="A19" t="s">
        <v>10</v>
      </c>
      <c r="B19" t="s">
        <v>11</v>
      </c>
      <c r="D19" t="s">
        <v>70</v>
      </c>
      <c r="E19" t="s">
        <v>28</v>
      </c>
      <c r="G19" t="s">
        <v>67</v>
      </c>
      <c r="H19">
        <v>35</v>
      </c>
      <c r="I19" t="s">
        <v>71</v>
      </c>
      <c r="J19" t="s">
        <v>74</v>
      </c>
    </row>
    <row r="20" spans="1:10">
      <c r="A20" t="s">
        <v>10</v>
      </c>
      <c r="B20" t="s">
        <v>11</v>
      </c>
      <c r="D20" t="s">
        <v>70</v>
      </c>
      <c r="E20" t="s">
        <v>28</v>
      </c>
      <c r="G20" t="s">
        <v>67</v>
      </c>
      <c r="H20">
        <v>35</v>
      </c>
      <c r="I20" t="s">
        <v>71</v>
      </c>
      <c r="J20" t="s">
        <v>75</v>
      </c>
    </row>
    <row r="21" spans="1:10">
      <c r="A21" t="s">
        <v>10</v>
      </c>
      <c r="B21" t="s">
        <v>11</v>
      </c>
      <c r="D21" t="s">
        <v>76</v>
      </c>
      <c r="E21" t="s">
        <v>33</v>
      </c>
      <c r="G21" t="s">
        <v>67</v>
      </c>
      <c r="H21">
        <v>19.98</v>
      </c>
      <c r="I21" t="s">
        <v>77</v>
      </c>
      <c r="J21" t="s">
        <v>78</v>
      </c>
    </row>
    <row r="22" spans="1:10">
      <c r="A22" t="s">
        <v>10</v>
      </c>
      <c r="B22" t="s">
        <v>11</v>
      </c>
      <c r="C22" t="s">
        <v>18</v>
      </c>
      <c r="D22" t="s">
        <v>79</v>
      </c>
      <c r="E22" t="s">
        <v>20</v>
      </c>
      <c r="G22" t="s">
        <v>80</v>
      </c>
      <c r="H22">
        <v>-183.98</v>
      </c>
      <c r="I22" t="s">
        <v>81</v>
      </c>
      <c r="J22" t="s">
        <v>82</v>
      </c>
    </row>
    <row r="23" spans="1:10">
      <c r="A23" t="s">
        <v>10</v>
      </c>
      <c r="B23" t="s">
        <v>11</v>
      </c>
      <c r="C23" t="s">
        <v>83</v>
      </c>
      <c r="D23" t="s">
        <v>84</v>
      </c>
      <c r="E23" t="s">
        <v>28</v>
      </c>
      <c r="G23" t="s">
        <v>85</v>
      </c>
      <c r="H23">
        <v>-512.91999999999996</v>
      </c>
      <c r="I23" t="s">
        <v>86</v>
      </c>
      <c r="J23" t="s">
        <v>87</v>
      </c>
    </row>
    <row r="24" spans="1:10">
      <c r="A24" t="s">
        <v>10</v>
      </c>
      <c r="B24" t="s">
        <v>11</v>
      </c>
      <c r="D24" t="s">
        <v>88</v>
      </c>
      <c r="E24" t="s">
        <v>28</v>
      </c>
      <c r="G24" t="s">
        <v>85</v>
      </c>
      <c r="H24">
        <v>-2.99</v>
      </c>
      <c r="I24" t="s">
        <v>86</v>
      </c>
      <c r="J24" t="s">
        <v>89</v>
      </c>
    </row>
    <row r="25" spans="1:10">
      <c r="A25" t="s">
        <v>10</v>
      </c>
      <c r="B25" t="s">
        <v>11</v>
      </c>
      <c r="D25" t="s">
        <v>88</v>
      </c>
      <c r="E25" t="s">
        <v>28</v>
      </c>
      <c r="G25" t="s">
        <v>85</v>
      </c>
      <c r="H25">
        <v>-13.93</v>
      </c>
      <c r="I25" t="s">
        <v>86</v>
      </c>
      <c r="J25" t="s">
        <v>90</v>
      </c>
    </row>
    <row r="26" spans="1:10">
      <c r="A26" t="s">
        <v>91</v>
      </c>
      <c r="B26" t="s">
        <v>11</v>
      </c>
      <c r="D26" t="s">
        <v>92</v>
      </c>
      <c r="E26" t="s">
        <v>28</v>
      </c>
      <c r="G26" t="s">
        <v>93</v>
      </c>
      <c r="H26">
        <v>3.25</v>
      </c>
      <c r="I26" t="s">
        <v>94</v>
      </c>
      <c r="J26" t="s">
        <v>95</v>
      </c>
    </row>
    <row r="27" spans="1:10">
      <c r="A27" t="s">
        <v>10</v>
      </c>
      <c r="B27" t="s">
        <v>11</v>
      </c>
      <c r="D27" t="s">
        <v>92</v>
      </c>
      <c r="E27" t="s">
        <v>28</v>
      </c>
      <c r="G27" t="s">
        <v>93</v>
      </c>
      <c r="H27">
        <v>0.45</v>
      </c>
      <c r="I27" t="s">
        <v>94</v>
      </c>
      <c r="J27" t="s">
        <v>96</v>
      </c>
    </row>
    <row r="28" spans="1:10">
      <c r="A28" t="s">
        <v>97</v>
      </c>
      <c r="B28" t="s">
        <v>98</v>
      </c>
      <c r="C28" t="s">
        <v>99</v>
      </c>
      <c r="D28" t="s">
        <v>100</v>
      </c>
      <c r="E28" t="s">
        <v>24</v>
      </c>
      <c r="G28" t="s">
        <v>101</v>
      </c>
      <c r="H28">
        <v>-38.24</v>
      </c>
      <c r="I28" t="s">
        <v>102</v>
      </c>
      <c r="J28" t="s">
        <v>103</v>
      </c>
    </row>
    <row r="29" spans="1:10">
      <c r="A29" t="s">
        <v>97</v>
      </c>
      <c r="B29" t="s">
        <v>98</v>
      </c>
      <c r="C29" t="s">
        <v>104</v>
      </c>
      <c r="D29" t="s">
        <v>105</v>
      </c>
      <c r="E29" t="s">
        <v>33</v>
      </c>
      <c r="G29" t="s">
        <v>101</v>
      </c>
      <c r="H29">
        <v>-2.1800000000000002</v>
      </c>
      <c r="I29" t="s">
        <v>106</v>
      </c>
      <c r="J29" t="s">
        <v>107</v>
      </c>
    </row>
    <row r="30" spans="1:10">
      <c r="A30" t="s">
        <v>97</v>
      </c>
      <c r="B30" t="s">
        <v>98</v>
      </c>
      <c r="C30" t="s">
        <v>108</v>
      </c>
      <c r="D30" t="s">
        <v>108</v>
      </c>
      <c r="E30" t="s">
        <v>20</v>
      </c>
      <c r="G30" t="s">
        <v>101</v>
      </c>
      <c r="H30">
        <v>-48.34</v>
      </c>
      <c r="I30" t="s">
        <v>109</v>
      </c>
      <c r="J30" t="s">
        <v>110</v>
      </c>
    </row>
    <row r="31" spans="1:10">
      <c r="A31" t="s">
        <v>97</v>
      </c>
      <c r="B31" t="s">
        <v>98</v>
      </c>
      <c r="C31" t="s">
        <v>111</v>
      </c>
      <c r="D31" t="s">
        <v>111</v>
      </c>
      <c r="E31" t="s">
        <v>112</v>
      </c>
      <c r="G31" t="s">
        <v>101</v>
      </c>
      <c r="H31">
        <v>-26.34</v>
      </c>
      <c r="I31" t="s">
        <v>113</v>
      </c>
      <c r="J31" t="s">
        <v>114</v>
      </c>
    </row>
    <row r="32" spans="1:10">
      <c r="A32" t="s">
        <v>97</v>
      </c>
      <c r="B32" t="s">
        <v>98</v>
      </c>
      <c r="C32" t="s">
        <v>115</v>
      </c>
      <c r="D32" t="s">
        <v>116</v>
      </c>
      <c r="E32" t="s">
        <v>112</v>
      </c>
      <c r="G32" t="s">
        <v>101</v>
      </c>
      <c r="H32">
        <v>-34.26</v>
      </c>
      <c r="I32" t="s">
        <v>117</v>
      </c>
      <c r="J32" t="s">
        <v>118</v>
      </c>
    </row>
    <row r="33" spans="1:10">
      <c r="A33" t="s">
        <v>97</v>
      </c>
      <c r="B33" t="s">
        <v>98</v>
      </c>
      <c r="C33" t="s">
        <v>119</v>
      </c>
      <c r="D33" t="s">
        <v>120</v>
      </c>
      <c r="E33" t="s">
        <v>112</v>
      </c>
      <c r="G33" t="s">
        <v>101</v>
      </c>
      <c r="H33">
        <v>-5.47</v>
      </c>
      <c r="I33" t="s">
        <v>121</v>
      </c>
      <c r="J33" t="s">
        <v>122</v>
      </c>
    </row>
    <row r="34" spans="1:10">
      <c r="A34" t="s">
        <v>97</v>
      </c>
      <c r="B34" t="s">
        <v>98</v>
      </c>
      <c r="C34" t="s">
        <v>123</v>
      </c>
      <c r="D34" t="s">
        <v>123</v>
      </c>
      <c r="E34" t="s">
        <v>112</v>
      </c>
      <c r="G34" t="s">
        <v>101</v>
      </c>
      <c r="H34">
        <v>-16.100000000000001</v>
      </c>
      <c r="I34" t="s">
        <v>124</v>
      </c>
      <c r="J34" t="s">
        <v>125</v>
      </c>
    </row>
    <row r="35" spans="1:10">
      <c r="A35" t="s">
        <v>97</v>
      </c>
      <c r="B35" t="s">
        <v>98</v>
      </c>
      <c r="C35" t="s">
        <v>126</v>
      </c>
      <c r="D35" t="s">
        <v>126</v>
      </c>
      <c r="E35" t="s">
        <v>127</v>
      </c>
      <c r="G35" t="s">
        <v>101</v>
      </c>
      <c r="H35">
        <v>-25.02</v>
      </c>
      <c r="I35" t="s">
        <v>128</v>
      </c>
      <c r="J35" t="s">
        <v>129</v>
      </c>
    </row>
    <row r="36" spans="1:10">
      <c r="A36" t="s">
        <v>97</v>
      </c>
      <c r="B36" t="s">
        <v>98</v>
      </c>
      <c r="C36" t="s">
        <v>130</v>
      </c>
      <c r="D36" t="s">
        <v>131</v>
      </c>
      <c r="E36" t="s">
        <v>127</v>
      </c>
      <c r="G36" t="s">
        <v>29</v>
      </c>
      <c r="H36">
        <v>-21.85</v>
      </c>
      <c r="I36" t="s">
        <v>132</v>
      </c>
      <c r="J36" t="s">
        <v>133</v>
      </c>
    </row>
    <row r="37" spans="1:10">
      <c r="A37" t="s">
        <v>97</v>
      </c>
      <c r="B37" t="s">
        <v>98</v>
      </c>
      <c r="C37" t="s">
        <v>134</v>
      </c>
      <c r="D37" t="s">
        <v>134</v>
      </c>
      <c r="E37" t="s">
        <v>20</v>
      </c>
      <c r="G37" t="s">
        <v>29</v>
      </c>
      <c r="H37">
        <v>-32.130000000000003</v>
      </c>
      <c r="I37" t="s">
        <v>135</v>
      </c>
      <c r="J37" t="s">
        <v>136</v>
      </c>
    </row>
    <row r="38" spans="1:10">
      <c r="A38" t="s">
        <v>97</v>
      </c>
      <c r="B38" t="s">
        <v>98</v>
      </c>
      <c r="C38" t="s">
        <v>137</v>
      </c>
      <c r="D38" t="s">
        <v>138</v>
      </c>
      <c r="E38" t="s">
        <v>112</v>
      </c>
      <c r="G38" t="s">
        <v>29</v>
      </c>
      <c r="H38">
        <v>-95.97</v>
      </c>
      <c r="I38" t="s">
        <v>139</v>
      </c>
      <c r="J38" t="s">
        <v>140</v>
      </c>
    </row>
    <row r="39" spans="1:10">
      <c r="A39" t="s">
        <v>97</v>
      </c>
      <c r="B39" t="s">
        <v>98</v>
      </c>
      <c r="C39" t="s">
        <v>99</v>
      </c>
      <c r="D39" t="s">
        <v>141</v>
      </c>
      <c r="E39" t="s">
        <v>24</v>
      </c>
      <c r="G39" t="s">
        <v>142</v>
      </c>
      <c r="H39">
        <v>-16.59</v>
      </c>
      <c r="I39" t="s">
        <v>143</v>
      </c>
      <c r="J39" t="s">
        <v>144</v>
      </c>
    </row>
    <row r="40" spans="1:10">
      <c r="A40" t="s">
        <v>97</v>
      </c>
      <c r="B40" t="s">
        <v>98</v>
      </c>
      <c r="C40" t="s">
        <v>99</v>
      </c>
      <c r="D40" t="s">
        <v>145</v>
      </c>
      <c r="E40" t="s">
        <v>24</v>
      </c>
      <c r="G40" t="s">
        <v>142</v>
      </c>
      <c r="H40">
        <v>-24.04</v>
      </c>
      <c r="I40" t="s">
        <v>146</v>
      </c>
      <c r="J40" t="s">
        <v>147</v>
      </c>
    </row>
    <row r="41" spans="1:10">
      <c r="A41" t="s">
        <v>97</v>
      </c>
      <c r="B41" t="s">
        <v>98</v>
      </c>
      <c r="C41" t="s">
        <v>99</v>
      </c>
      <c r="D41" t="s">
        <v>148</v>
      </c>
      <c r="E41" t="s">
        <v>24</v>
      </c>
      <c r="G41" t="s">
        <v>142</v>
      </c>
      <c r="H41">
        <v>48.12</v>
      </c>
      <c r="I41" t="s">
        <v>149</v>
      </c>
      <c r="J41" t="s">
        <v>150</v>
      </c>
    </row>
    <row r="42" spans="1:10">
      <c r="A42" t="s">
        <v>97</v>
      </c>
      <c r="B42" t="s">
        <v>98</v>
      </c>
      <c r="C42" t="s">
        <v>151</v>
      </c>
      <c r="D42" t="s">
        <v>152</v>
      </c>
      <c r="E42" t="s">
        <v>24</v>
      </c>
      <c r="G42" t="s">
        <v>142</v>
      </c>
      <c r="H42">
        <v>-26.75</v>
      </c>
      <c r="I42" t="s">
        <v>153</v>
      </c>
      <c r="J42" t="s">
        <v>154</v>
      </c>
    </row>
    <row r="43" spans="1:10">
      <c r="A43" t="s">
        <v>97</v>
      </c>
      <c r="B43" t="s">
        <v>98</v>
      </c>
      <c r="C43" t="s">
        <v>155</v>
      </c>
      <c r="D43" t="s">
        <v>156</v>
      </c>
      <c r="E43" t="s">
        <v>13</v>
      </c>
      <c r="G43" t="s">
        <v>142</v>
      </c>
      <c r="H43">
        <v>-28.92</v>
      </c>
      <c r="I43" t="s">
        <v>157</v>
      </c>
      <c r="J43" t="s">
        <v>158</v>
      </c>
    </row>
    <row r="44" spans="1:10">
      <c r="A44" t="s">
        <v>97</v>
      </c>
      <c r="B44" t="s">
        <v>98</v>
      </c>
      <c r="C44" t="s">
        <v>159</v>
      </c>
      <c r="D44" t="s">
        <v>160</v>
      </c>
      <c r="E44" t="s">
        <v>161</v>
      </c>
      <c r="G44" t="s">
        <v>142</v>
      </c>
      <c r="H44">
        <v>-10.7</v>
      </c>
      <c r="I44" t="s">
        <v>162</v>
      </c>
      <c r="J44" t="s">
        <v>163</v>
      </c>
    </row>
    <row r="45" spans="1:10">
      <c r="A45" t="s">
        <v>97</v>
      </c>
      <c r="B45" t="s">
        <v>98</v>
      </c>
      <c r="C45" t="s">
        <v>164</v>
      </c>
      <c r="D45" t="s">
        <v>164</v>
      </c>
      <c r="E45" t="s">
        <v>24</v>
      </c>
      <c r="G45" t="s">
        <v>142</v>
      </c>
      <c r="H45">
        <v>-4.3600000000000003</v>
      </c>
      <c r="I45" t="s">
        <v>165</v>
      </c>
      <c r="J45" t="s">
        <v>166</v>
      </c>
    </row>
    <row r="46" spans="1:10">
      <c r="A46" t="s">
        <v>97</v>
      </c>
      <c r="B46" t="s">
        <v>98</v>
      </c>
      <c r="C46" t="s">
        <v>167</v>
      </c>
      <c r="D46" t="s">
        <v>168</v>
      </c>
      <c r="E46" t="s">
        <v>13</v>
      </c>
      <c r="G46" t="s">
        <v>142</v>
      </c>
      <c r="H46">
        <v>33.18</v>
      </c>
      <c r="I46" t="s">
        <v>169</v>
      </c>
      <c r="J46" t="s">
        <v>170</v>
      </c>
    </row>
    <row r="47" spans="1:10">
      <c r="A47" t="s">
        <v>97</v>
      </c>
      <c r="B47" t="s">
        <v>98</v>
      </c>
      <c r="C47" t="s">
        <v>167</v>
      </c>
      <c r="D47" t="s">
        <v>168</v>
      </c>
      <c r="E47" t="s">
        <v>13</v>
      </c>
      <c r="G47" t="s">
        <v>142</v>
      </c>
      <c r="H47">
        <v>-8.7100000000000009</v>
      </c>
      <c r="I47" t="s">
        <v>169</v>
      </c>
      <c r="J47" t="s">
        <v>171</v>
      </c>
    </row>
    <row r="48" spans="1:10">
      <c r="A48" t="s">
        <v>97</v>
      </c>
      <c r="B48" t="s">
        <v>98</v>
      </c>
      <c r="C48" t="s">
        <v>167</v>
      </c>
      <c r="D48" t="s">
        <v>168</v>
      </c>
      <c r="E48" t="s">
        <v>13</v>
      </c>
      <c r="G48" t="s">
        <v>142</v>
      </c>
      <c r="H48">
        <v>-24.55</v>
      </c>
      <c r="I48" t="s">
        <v>169</v>
      </c>
      <c r="J48" t="s">
        <v>172</v>
      </c>
    </row>
    <row r="49" spans="1:10">
      <c r="A49" t="s">
        <v>97</v>
      </c>
      <c r="B49" t="s">
        <v>98</v>
      </c>
      <c r="C49" t="s">
        <v>173</v>
      </c>
      <c r="D49" t="s">
        <v>173</v>
      </c>
      <c r="E49" t="s">
        <v>20</v>
      </c>
      <c r="G49" t="s">
        <v>142</v>
      </c>
      <c r="H49">
        <v>-64.45</v>
      </c>
      <c r="I49" t="s">
        <v>174</v>
      </c>
      <c r="J49" t="s">
        <v>175</v>
      </c>
    </row>
    <row r="50" spans="1:10">
      <c r="A50" t="s">
        <v>97</v>
      </c>
      <c r="B50" t="s">
        <v>98</v>
      </c>
      <c r="C50" t="s">
        <v>176</v>
      </c>
      <c r="D50" t="s">
        <v>176</v>
      </c>
      <c r="E50" t="s">
        <v>177</v>
      </c>
      <c r="G50" t="s">
        <v>142</v>
      </c>
      <c r="H50">
        <v>-4.62</v>
      </c>
      <c r="I50" t="s">
        <v>178</v>
      </c>
      <c r="J50" t="s">
        <v>179</v>
      </c>
    </row>
    <row r="51" spans="1:10">
      <c r="A51" t="s">
        <v>97</v>
      </c>
      <c r="B51" t="s">
        <v>98</v>
      </c>
      <c r="C51" t="s">
        <v>180</v>
      </c>
      <c r="D51" t="s">
        <v>180</v>
      </c>
      <c r="E51" t="s">
        <v>181</v>
      </c>
      <c r="G51" t="s">
        <v>56</v>
      </c>
      <c r="H51">
        <v>-5.45</v>
      </c>
      <c r="I51" t="s">
        <v>182</v>
      </c>
      <c r="J51" t="s">
        <v>183</v>
      </c>
    </row>
    <row r="52" spans="1:10">
      <c r="A52" t="s">
        <v>97</v>
      </c>
      <c r="B52" t="s">
        <v>98</v>
      </c>
      <c r="C52" t="s">
        <v>184</v>
      </c>
      <c r="D52" t="s">
        <v>184</v>
      </c>
      <c r="E52" t="s">
        <v>185</v>
      </c>
      <c r="G52" t="s">
        <v>56</v>
      </c>
      <c r="H52">
        <v>-57.35</v>
      </c>
      <c r="I52" t="s">
        <v>186</v>
      </c>
      <c r="J52" t="s">
        <v>187</v>
      </c>
    </row>
    <row r="53" spans="1:10">
      <c r="A53" t="s">
        <v>97</v>
      </c>
      <c r="B53" t="s">
        <v>98</v>
      </c>
      <c r="C53" t="s">
        <v>115</v>
      </c>
      <c r="D53" t="s">
        <v>116</v>
      </c>
      <c r="E53" t="s">
        <v>112</v>
      </c>
      <c r="G53" t="s">
        <v>56</v>
      </c>
      <c r="H53">
        <v>-59.91</v>
      </c>
      <c r="I53" t="s">
        <v>188</v>
      </c>
      <c r="J53" t="s">
        <v>189</v>
      </c>
    </row>
    <row r="54" spans="1:10">
      <c r="A54" t="s">
        <v>97</v>
      </c>
      <c r="B54" t="s">
        <v>98</v>
      </c>
      <c r="D54" t="s">
        <v>190</v>
      </c>
      <c r="E54" t="s">
        <v>28</v>
      </c>
      <c r="G54" t="s">
        <v>56</v>
      </c>
      <c r="H54">
        <v>3222.22</v>
      </c>
      <c r="I54" t="s">
        <v>191</v>
      </c>
      <c r="J54" t="s">
        <v>192</v>
      </c>
    </row>
    <row r="55" spans="1:10">
      <c r="A55" t="s">
        <v>97</v>
      </c>
      <c r="B55" t="s">
        <v>98</v>
      </c>
      <c r="D55" t="s">
        <v>193</v>
      </c>
      <c r="E55" t="s">
        <v>20</v>
      </c>
      <c r="G55" t="s">
        <v>56</v>
      </c>
      <c r="H55">
        <v>-10</v>
      </c>
      <c r="I55" t="s">
        <v>194</v>
      </c>
      <c r="J55" t="s">
        <v>195</v>
      </c>
    </row>
    <row r="56" spans="1:10">
      <c r="A56" t="s">
        <v>97</v>
      </c>
      <c r="B56" t="s">
        <v>98</v>
      </c>
      <c r="C56" t="s">
        <v>196</v>
      </c>
      <c r="D56" t="s">
        <v>197</v>
      </c>
      <c r="E56" t="s">
        <v>112</v>
      </c>
      <c r="G56" t="s">
        <v>56</v>
      </c>
      <c r="H56">
        <v>-19.670000000000002</v>
      </c>
      <c r="I56" t="s">
        <v>198</v>
      </c>
      <c r="J56" t="s">
        <v>199</v>
      </c>
    </row>
    <row r="57" spans="1:10">
      <c r="A57" t="s">
        <v>97</v>
      </c>
      <c r="B57" t="s">
        <v>98</v>
      </c>
      <c r="C57" t="s">
        <v>200</v>
      </c>
      <c r="D57" t="s">
        <v>201</v>
      </c>
      <c r="E57" t="s">
        <v>202</v>
      </c>
      <c r="G57" t="s">
        <v>56</v>
      </c>
      <c r="H57">
        <v>-127.92</v>
      </c>
      <c r="I57" t="s">
        <v>203</v>
      </c>
      <c r="J57" t="s">
        <v>204</v>
      </c>
    </row>
    <row r="58" spans="1:10">
      <c r="A58" t="s">
        <v>97</v>
      </c>
      <c r="B58" t="s">
        <v>98</v>
      </c>
      <c r="C58" t="s">
        <v>205</v>
      </c>
      <c r="D58" t="s">
        <v>206</v>
      </c>
      <c r="E58" t="s">
        <v>185</v>
      </c>
      <c r="G58" t="s">
        <v>56</v>
      </c>
      <c r="H58">
        <v>-19.7</v>
      </c>
      <c r="I58" t="s">
        <v>207</v>
      </c>
      <c r="J58" t="s">
        <v>208</v>
      </c>
    </row>
    <row r="59" spans="1:10">
      <c r="A59" t="s">
        <v>97</v>
      </c>
      <c r="B59" t="s">
        <v>98</v>
      </c>
      <c r="C59" t="s">
        <v>209</v>
      </c>
      <c r="D59" t="s">
        <v>210</v>
      </c>
      <c r="E59" t="s">
        <v>185</v>
      </c>
      <c r="G59" t="s">
        <v>56</v>
      </c>
      <c r="H59">
        <v>-19.7</v>
      </c>
      <c r="I59" t="s">
        <v>211</v>
      </c>
      <c r="J59" t="s">
        <v>212</v>
      </c>
    </row>
    <row r="60" spans="1:10">
      <c r="A60" t="s">
        <v>97</v>
      </c>
      <c r="B60" t="s">
        <v>98</v>
      </c>
      <c r="C60" t="s">
        <v>99</v>
      </c>
      <c r="D60" t="s">
        <v>213</v>
      </c>
      <c r="E60" t="s">
        <v>20</v>
      </c>
      <c r="G60" t="s">
        <v>63</v>
      </c>
      <c r="H60">
        <v>-87.21</v>
      </c>
      <c r="I60" t="s">
        <v>214</v>
      </c>
      <c r="J60" t="s">
        <v>215</v>
      </c>
    </row>
    <row r="61" spans="1:10">
      <c r="A61" t="s">
        <v>97</v>
      </c>
      <c r="B61" t="s">
        <v>98</v>
      </c>
      <c r="C61" t="s">
        <v>134</v>
      </c>
      <c r="D61" t="s">
        <v>134</v>
      </c>
      <c r="E61" t="s">
        <v>20</v>
      </c>
      <c r="G61" t="s">
        <v>63</v>
      </c>
      <c r="H61">
        <v>-23.49</v>
      </c>
      <c r="I61" t="s">
        <v>216</v>
      </c>
      <c r="J61" t="s">
        <v>217</v>
      </c>
    </row>
    <row r="62" spans="1:10">
      <c r="A62" t="s">
        <v>97</v>
      </c>
      <c r="B62" t="s">
        <v>98</v>
      </c>
      <c r="C62" t="s">
        <v>218</v>
      </c>
      <c r="D62" t="s">
        <v>219</v>
      </c>
      <c r="E62" t="s">
        <v>13</v>
      </c>
      <c r="G62" t="s">
        <v>67</v>
      </c>
      <c r="H62">
        <v>-220.63</v>
      </c>
      <c r="I62" t="s">
        <v>220</v>
      </c>
      <c r="J62" t="s">
        <v>221</v>
      </c>
    </row>
    <row r="63" spans="1:10">
      <c r="A63" t="s">
        <v>97</v>
      </c>
      <c r="B63" t="s">
        <v>98</v>
      </c>
      <c r="C63" t="s">
        <v>134</v>
      </c>
      <c r="D63" t="s">
        <v>134</v>
      </c>
      <c r="E63" t="s">
        <v>20</v>
      </c>
      <c r="G63" t="s">
        <v>67</v>
      </c>
      <c r="H63">
        <v>-16.809999999999999</v>
      </c>
      <c r="I63" t="s">
        <v>222</v>
      </c>
      <c r="J63" t="s">
        <v>223</v>
      </c>
    </row>
    <row r="64" spans="1:10">
      <c r="A64" t="s">
        <v>97</v>
      </c>
      <c r="B64" t="s">
        <v>98</v>
      </c>
      <c r="C64" t="s">
        <v>224</v>
      </c>
      <c r="D64" t="s">
        <v>225</v>
      </c>
      <c r="E64" t="s">
        <v>33</v>
      </c>
      <c r="G64" t="s">
        <v>80</v>
      </c>
      <c r="H64">
        <v>-4.08</v>
      </c>
      <c r="I64" t="s">
        <v>226</v>
      </c>
      <c r="J64" t="s">
        <v>227</v>
      </c>
    </row>
    <row r="65" spans="1:10">
      <c r="A65" t="s">
        <v>97</v>
      </c>
      <c r="B65" t="s">
        <v>98</v>
      </c>
      <c r="C65" t="s">
        <v>228</v>
      </c>
      <c r="D65" t="s">
        <v>229</v>
      </c>
      <c r="E65" t="s">
        <v>185</v>
      </c>
      <c r="G65" t="s">
        <v>85</v>
      </c>
      <c r="H65">
        <v>-55.14</v>
      </c>
      <c r="I65" t="s">
        <v>230</v>
      </c>
      <c r="J65" t="s">
        <v>231</v>
      </c>
    </row>
    <row r="66" spans="1:10">
      <c r="A66" t="s">
        <v>97</v>
      </c>
      <c r="B66" t="s">
        <v>98</v>
      </c>
      <c r="C66" t="s">
        <v>218</v>
      </c>
      <c r="D66" t="s">
        <v>218</v>
      </c>
      <c r="E66" t="s">
        <v>13</v>
      </c>
      <c r="G66" t="s">
        <v>85</v>
      </c>
      <c r="H66">
        <v>-13.09</v>
      </c>
      <c r="I66" t="s">
        <v>232</v>
      </c>
      <c r="J66" t="s">
        <v>233</v>
      </c>
    </row>
    <row r="67" spans="1:10">
      <c r="A67" t="s">
        <v>97</v>
      </c>
      <c r="B67" t="s">
        <v>98</v>
      </c>
      <c r="C67" t="s">
        <v>126</v>
      </c>
      <c r="D67" t="s">
        <v>126</v>
      </c>
      <c r="E67" t="s">
        <v>127</v>
      </c>
      <c r="G67" t="s">
        <v>85</v>
      </c>
      <c r="H67">
        <v>-43.67</v>
      </c>
      <c r="I67" t="s">
        <v>234</v>
      </c>
      <c r="J67" t="s">
        <v>235</v>
      </c>
    </row>
    <row r="68" spans="1:10">
      <c r="A68" t="s">
        <v>97</v>
      </c>
      <c r="B68" t="s">
        <v>98</v>
      </c>
      <c r="C68" t="s">
        <v>126</v>
      </c>
      <c r="D68" t="s">
        <v>126</v>
      </c>
      <c r="E68" t="s">
        <v>127</v>
      </c>
      <c r="G68" t="s">
        <v>85</v>
      </c>
      <c r="H68">
        <v>-82.94</v>
      </c>
      <c r="I68" t="s">
        <v>234</v>
      </c>
      <c r="J68" t="s">
        <v>236</v>
      </c>
    </row>
    <row r="69" spans="1:10">
      <c r="A69" t="s">
        <v>97</v>
      </c>
      <c r="B69" t="s">
        <v>98</v>
      </c>
      <c r="C69" t="s">
        <v>237</v>
      </c>
      <c r="D69" t="s">
        <v>237</v>
      </c>
      <c r="E69" t="s">
        <v>202</v>
      </c>
      <c r="G69" t="s">
        <v>238</v>
      </c>
      <c r="H69">
        <v>-58.95</v>
      </c>
      <c r="I69" t="s">
        <v>239</v>
      </c>
      <c r="J69" t="s">
        <v>240</v>
      </c>
    </row>
    <row r="70" spans="1:10">
      <c r="A70" t="s">
        <v>97</v>
      </c>
      <c r="B70" t="s">
        <v>98</v>
      </c>
      <c r="C70" t="s">
        <v>241</v>
      </c>
      <c r="D70" t="s">
        <v>242</v>
      </c>
      <c r="E70" t="s">
        <v>202</v>
      </c>
      <c r="G70" t="s">
        <v>238</v>
      </c>
      <c r="H70">
        <v>-143.38</v>
      </c>
      <c r="I70" t="s">
        <v>243</v>
      </c>
      <c r="J70" t="s">
        <v>244</v>
      </c>
    </row>
    <row r="71" spans="1:10">
      <c r="A71" t="s">
        <v>97</v>
      </c>
      <c r="B71" t="s">
        <v>98</v>
      </c>
      <c r="C71" t="s">
        <v>245</v>
      </c>
      <c r="D71" t="s">
        <v>246</v>
      </c>
      <c r="E71" t="s">
        <v>33</v>
      </c>
      <c r="G71" t="s">
        <v>238</v>
      </c>
      <c r="H71">
        <v>-18.739999999999998</v>
      </c>
      <c r="I71" t="s">
        <v>247</v>
      </c>
      <c r="J71" t="s">
        <v>248</v>
      </c>
    </row>
    <row r="72" spans="1:10">
      <c r="A72" t="s">
        <v>97</v>
      </c>
      <c r="B72" t="s">
        <v>98</v>
      </c>
      <c r="C72" t="s">
        <v>249</v>
      </c>
      <c r="D72" t="s">
        <v>249</v>
      </c>
      <c r="E72" t="s">
        <v>20</v>
      </c>
      <c r="G72" t="s">
        <v>238</v>
      </c>
      <c r="H72">
        <v>-34.15</v>
      </c>
      <c r="I72" t="s">
        <v>250</v>
      </c>
      <c r="J72" t="s">
        <v>251</v>
      </c>
    </row>
    <row r="73" spans="1:10">
      <c r="A73" t="s">
        <v>97</v>
      </c>
      <c r="B73" t="s">
        <v>98</v>
      </c>
      <c r="D73" t="s">
        <v>252</v>
      </c>
      <c r="E73" t="s">
        <v>28</v>
      </c>
      <c r="G73" t="s">
        <v>93</v>
      </c>
      <c r="H73">
        <v>359.8</v>
      </c>
      <c r="I73" t="s">
        <v>94</v>
      </c>
      <c r="J73" t="s">
        <v>253</v>
      </c>
    </row>
    <row r="74" spans="1:10">
      <c r="A74" t="s">
        <v>97</v>
      </c>
      <c r="B74" t="s">
        <v>98</v>
      </c>
      <c r="D74" t="s">
        <v>254</v>
      </c>
      <c r="E74" t="s">
        <v>181</v>
      </c>
      <c r="G74" t="s">
        <v>93</v>
      </c>
      <c r="H74">
        <v>392.77</v>
      </c>
      <c r="I74" t="s">
        <v>255</v>
      </c>
      <c r="J74" t="s">
        <v>256</v>
      </c>
    </row>
    <row r="75" spans="1:10">
      <c r="A75" t="s">
        <v>97</v>
      </c>
      <c r="B75" t="s">
        <v>98</v>
      </c>
      <c r="C75" t="s">
        <v>257</v>
      </c>
      <c r="D75" t="s">
        <v>257</v>
      </c>
      <c r="E75" t="s">
        <v>112</v>
      </c>
      <c r="G75" t="s">
        <v>93</v>
      </c>
      <c r="H75">
        <v>-10.26</v>
      </c>
      <c r="I75" t="s">
        <v>258</v>
      </c>
      <c r="J75" t="s">
        <v>259</v>
      </c>
    </row>
    <row r="76" spans="1:10">
      <c r="A76" t="s">
        <v>97</v>
      </c>
      <c r="B76" t="s">
        <v>98</v>
      </c>
      <c r="C76" t="s">
        <v>108</v>
      </c>
      <c r="D76" t="s">
        <v>108</v>
      </c>
      <c r="E76" t="s">
        <v>20</v>
      </c>
      <c r="G76" t="s">
        <v>93</v>
      </c>
      <c r="H76">
        <v>-49.99</v>
      </c>
      <c r="I76" t="s">
        <v>260</v>
      </c>
      <c r="J76" t="s">
        <v>261</v>
      </c>
    </row>
    <row r="77" spans="1:10">
      <c r="A77" t="s">
        <v>97</v>
      </c>
      <c r="B77" t="s">
        <v>98</v>
      </c>
      <c r="C77" t="s">
        <v>126</v>
      </c>
      <c r="D77" t="s">
        <v>126</v>
      </c>
      <c r="E77" t="s">
        <v>127</v>
      </c>
      <c r="G77" t="s">
        <v>93</v>
      </c>
      <c r="H77">
        <v>-60.05</v>
      </c>
      <c r="I77" t="s">
        <v>262</v>
      </c>
      <c r="J77" t="s">
        <v>263</v>
      </c>
    </row>
    <row r="78" spans="1:10">
      <c r="A78" t="s">
        <v>264</v>
      </c>
      <c r="B78" t="s">
        <v>265</v>
      </c>
      <c r="C78" t="s">
        <v>266</v>
      </c>
      <c r="D78" t="s">
        <v>267</v>
      </c>
      <c r="E78" t="s">
        <v>33</v>
      </c>
      <c r="G78" t="s">
        <v>142</v>
      </c>
      <c r="H78">
        <v>-15.14</v>
      </c>
      <c r="I78" t="s">
        <v>268</v>
      </c>
      <c r="J78" t="s">
        <v>269</v>
      </c>
    </row>
    <row r="79" spans="1:10">
      <c r="A79" t="s">
        <v>264</v>
      </c>
      <c r="B79" t="s">
        <v>265</v>
      </c>
      <c r="D79" t="s">
        <v>270</v>
      </c>
      <c r="E79" t="s">
        <v>37</v>
      </c>
      <c r="G79" t="s">
        <v>63</v>
      </c>
      <c r="H79">
        <v>150.24</v>
      </c>
      <c r="I79" t="s">
        <v>271</v>
      </c>
      <c r="J79" t="s">
        <v>272</v>
      </c>
    </row>
    <row r="80" spans="1:10">
      <c r="A80" t="s">
        <v>264</v>
      </c>
      <c r="B80" t="s">
        <v>265</v>
      </c>
      <c r="C80" t="s">
        <v>104</v>
      </c>
      <c r="D80" t="s">
        <v>105</v>
      </c>
      <c r="E80" t="s">
        <v>33</v>
      </c>
      <c r="G80" t="s">
        <v>67</v>
      </c>
      <c r="H80">
        <v>-2.99</v>
      </c>
      <c r="I80" t="s">
        <v>273</v>
      </c>
      <c r="J80" t="s">
        <v>274</v>
      </c>
    </row>
    <row r="81" spans="1:10">
      <c r="A81" t="s">
        <v>264</v>
      </c>
      <c r="B81" t="s">
        <v>265</v>
      </c>
      <c r="C81" t="s">
        <v>275</v>
      </c>
      <c r="D81" t="s">
        <v>276</v>
      </c>
      <c r="E81" t="s">
        <v>277</v>
      </c>
      <c r="G81" t="s">
        <v>278</v>
      </c>
      <c r="H81">
        <v>-17.87</v>
      </c>
      <c r="I81" t="s">
        <v>279</v>
      </c>
      <c r="J81" t="s">
        <v>280</v>
      </c>
    </row>
    <row r="82" spans="1:10">
      <c r="A82" t="s">
        <v>264</v>
      </c>
      <c r="B82" t="s">
        <v>265</v>
      </c>
      <c r="C82" t="s">
        <v>275</v>
      </c>
      <c r="D82" t="s">
        <v>276</v>
      </c>
      <c r="E82" t="s">
        <v>277</v>
      </c>
      <c r="G82" t="s">
        <v>278</v>
      </c>
      <c r="H82">
        <v>-17.87</v>
      </c>
      <c r="I82" t="s">
        <v>279</v>
      </c>
      <c r="J82" t="s">
        <v>281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E77CE-9908-4F4F-BA70-54A1ED3C6F7A}">
  <sheetPr codeName="Sheet1"/>
  <dimension ref="A1:J32"/>
  <sheetViews>
    <sheetView tabSelected="1" zoomScale="70" zoomScaleNormal="70" workbookViewId="0">
      <selection activeCell="L4" sqref="L4"/>
    </sheetView>
  </sheetViews>
  <sheetFormatPr defaultRowHeight="14.75"/>
  <cols>
    <col min="1" max="1" width="17.90625" bestFit="1" customWidth="1"/>
    <col min="2" max="2" width="11.7265625" bestFit="1" customWidth="1"/>
    <col min="3" max="3" width="10.5" customWidth="1"/>
    <col min="4" max="4" width="12.26953125" bestFit="1" customWidth="1"/>
    <col min="5" max="5" width="11.5" bestFit="1" customWidth="1"/>
    <col min="6" max="6" width="17.31640625" bestFit="1" customWidth="1"/>
    <col min="7" max="7" width="11.1328125" hidden="1" customWidth="1"/>
    <col min="8" max="8" width="12.7265625" hidden="1" customWidth="1"/>
    <col min="9" max="9" width="11.81640625" hidden="1" customWidth="1"/>
    <col min="10" max="10" width="1" customWidth="1"/>
  </cols>
  <sheetData>
    <row r="1" spans="1:10" ht="26.25" customHeight="1" thickBot="1">
      <c r="A1" s="65" t="str">
        <f ca="1">TEXT(TODAY(), "mmmm yyyy")</f>
        <v>November 2025</v>
      </c>
      <c r="B1" s="66"/>
      <c r="C1" s="66"/>
      <c r="D1" s="67"/>
      <c r="E1" s="2" t="s">
        <v>282</v>
      </c>
      <c r="F1" s="3">
        <f>('[1]Budget - 2025'!A85)</f>
        <v>45974.307754629626</v>
      </c>
      <c r="G1" t="s">
        <v>283</v>
      </c>
      <c r="H1" t="s">
        <v>284</v>
      </c>
      <c r="I1" t="s">
        <v>285</v>
      </c>
    </row>
    <row r="2" spans="1:10" ht="16.75" thickBot="1">
      <c r="A2" s="4" t="s">
        <v>4</v>
      </c>
      <c r="B2" s="4" t="s">
        <v>286</v>
      </c>
      <c r="C2" s="4" t="s">
        <v>287</v>
      </c>
      <c r="D2" s="4" t="s">
        <v>288</v>
      </c>
      <c r="E2" s="68" t="s">
        <v>289</v>
      </c>
      <c r="F2" s="69"/>
      <c r="G2" s="5">
        <f ca="1">TODAY()</f>
        <v>45974</v>
      </c>
      <c r="H2" s="6">
        <f ca="1">DATE(YEAR(G2),MONTH(G2),1)</f>
        <v>45962</v>
      </c>
      <c r="I2" s="6">
        <f ca="1">EOMONTH(H2,0)</f>
        <v>45991</v>
      </c>
      <c r="J2">
        <f ca="1">(I2-H2)+1</f>
        <v>30</v>
      </c>
    </row>
    <row r="3" spans="1:10">
      <c r="A3" s="7" t="s">
        <v>290</v>
      </c>
      <c r="B3" s="8">
        <v>200</v>
      </c>
      <c r="C3" s="9">
        <v>0</v>
      </c>
      <c r="D3" s="10">
        <v>1</v>
      </c>
      <c r="E3" s="11" t="s">
        <v>291</v>
      </c>
      <c r="F3" s="12">
        <f ca="1">EOMONTH(G2, 0) - G2</f>
        <v>17</v>
      </c>
    </row>
    <row r="4" spans="1:10" ht="15.5" thickBot="1">
      <c r="A4" s="13" t="s">
        <v>33</v>
      </c>
      <c r="B4" s="14">
        <v>150</v>
      </c>
      <c r="C4" s="15">
        <v>92.82</v>
      </c>
      <c r="D4" s="10">
        <v>0.38120000000000009</v>
      </c>
      <c r="E4" s="16" t="s">
        <v>292</v>
      </c>
      <c r="F4" s="17">
        <f ca="1">(F3/J2)</f>
        <v>0.56666666666666665</v>
      </c>
    </row>
    <row r="5" spans="1:10" ht="15.5" thickBot="1">
      <c r="A5" s="18" t="s">
        <v>293</v>
      </c>
      <c r="B5" s="19">
        <v>110</v>
      </c>
      <c r="C5" s="20">
        <v>0</v>
      </c>
      <c r="D5" s="21">
        <v>1</v>
      </c>
    </row>
    <row r="6" spans="1:10" ht="16.25" thickTop="1" thickBot="1">
      <c r="A6" s="22" t="s">
        <v>112</v>
      </c>
      <c r="B6" s="23">
        <v>500</v>
      </c>
      <c r="C6" s="24">
        <v>177.45</v>
      </c>
      <c r="D6" s="25">
        <v>0.64510000000000001</v>
      </c>
    </row>
    <row r="7" spans="1:10" ht="15.5" thickTop="1">
      <c r="A7" s="26" t="s">
        <v>20</v>
      </c>
      <c r="B7" s="8">
        <v>1600</v>
      </c>
      <c r="C7" s="9">
        <v>899.66</v>
      </c>
      <c r="D7" s="27">
        <v>0.43771249999999995</v>
      </c>
    </row>
    <row r="8" spans="1:10">
      <c r="A8" s="13" t="s">
        <v>127</v>
      </c>
      <c r="B8" s="14">
        <v>200</v>
      </c>
      <c r="C8" s="15">
        <v>65.52</v>
      </c>
      <c r="D8" s="28">
        <v>0.67239999999999989</v>
      </c>
    </row>
    <row r="9" spans="1:10">
      <c r="A9" s="29" t="s">
        <v>294</v>
      </c>
      <c r="B9" s="14">
        <v>350</v>
      </c>
      <c r="C9" s="15">
        <v>0</v>
      </c>
      <c r="D9" s="28">
        <v>1</v>
      </c>
    </row>
    <row r="10" spans="1:10">
      <c r="A10" s="13" t="s">
        <v>161</v>
      </c>
      <c r="B10" s="14">
        <v>125</v>
      </c>
      <c r="C10" s="15">
        <v>10.7</v>
      </c>
      <c r="D10" s="28">
        <v>0.91439999999999999</v>
      </c>
    </row>
    <row r="11" spans="1:10" ht="15.5" thickBot="1">
      <c r="A11" s="30" t="s">
        <v>185</v>
      </c>
      <c r="B11" s="19">
        <v>225</v>
      </c>
      <c r="C11" s="20">
        <v>171.56</v>
      </c>
      <c r="D11" s="21">
        <v>0.23751111111111112</v>
      </c>
    </row>
    <row r="12" spans="1:10" ht="15.5" thickTop="1">
      <c r="A12" s="31" t="s">
        <v>295</v>
      </c>
      <c r="B12" s="32">
        <v>900</v>
      </c>
      <c r="C12" s="33">
        <v>275.66000000000003</v>
      </c>
      <c r="D12" s="34">
        <v>0.69371111111111117</v>
      </c>
    </row>
    <row r="13" spans="1:10">
      <c r="A13" s="35" t="s">
        <v>296</v>
      </c>
      <c r="B13" s="36">
        <v>350</v>
      </c>
      <c r="C13" s="37">
        <v>311.77999999999997</v>
      </c>
      <c r="D13" s="38">
        <v>0.10920000000000007</v>
      </c>
    </row>
    <row r="14" spans="1:10" ht="15.5" thickBot="1">
      <c r="A14" s="39" t="s">
        <v>177</v>
      </c>
      <c r="B14" s="40">
        <v>300</v>
      </c>
      <c r="C14" s="41">
        <v>4.62</v>
      </c>
      <c r="D14" s="42">
        <v>0.98460000000000003</v>
      </c>
    </row>
    <row r="15" spans="1:10" ht="15.5" thickTop="1">
      <c r="A15" s="7" t="s">
        <v>297</v>
      </c>
      <c r="B15" s="43">
        <v>0</v>
      </c>
      <c r="C15" s="44">
        <v>0</v>
      </c>
      <c r="D15" s="45" t="s">
        <v>298</v>
      </c>
    </row>
    <row r="16" spans="1:10">
      <c r="A16" s="13" t="s">
        <v>299</v>
      </c>
      <c r="B16" s="46">
        <v>150</v>
      </c>
      <c r="C16" s="47">
        <v>271.3</v>
      </c>
      <c r="D16" s="48">
        <v>-0.80866666666666664</v>
      </c>
    </row>
    <row r="17" spans="1:5">
      <c r="A17" s="7" t="s">
        <v>300</v>
      </c>
      <c r="B17" s="8">
        <v>300</v>
      </c>
      <c r="C17" s="9">
        <v>0</v>
      </c>
      <c r="D17" s="27">
        <v>1</v>
      </c>
    </row>
    <row r="18" spans="1:5" ht="15.5" thickBot="1">
      <c r="A18" s="49" t="s">
        <v>301</v>
      </c>
      <c r="B18" s="50">
        <v>12638.25</v>
      </c>
      <c r="C18" s="51">
        <v>7559.02</v>
      </c>
      <c r="D18" s="52">
        <v>0.40189345835064205</v>
      </c>
      <c r="E18" s="53" t="s">
        <v>302</v>
      </c>
    </row>
    <row r="19" spans="1:5" ht="15.5" thickBot="1">
      <c r="A19" s="54" t="s">
        <v>303</v>
      </c>
      <c r="B19" s="55">
        <v>1.0022270390293546</v>
      </c>
      <c r="C19" s="56">
        <v>0.59943854826132348</v>
      </c>
      <c r="D19" s="57"/>
    </row>
    <row r="21" spans="1:5">
      <c r="B21" s="58"/>
      <c r="C21" s="59"/>
      <c r="D21" s="60"/>
      <c r="E21" s="53"/>
    </row>
    <row r="22" spans="1:5">
      <c r="B22" s="61"/>
      <c r="C22" s="61"/>
      <c r="D22" s="57"/>
    </row>
    <row r="23" spans="1:5">
      <c r="B23" s="58"/>
      <c r="C23" s="58"/>
      <c r="D23" s="62"/>
    </row>
    <row r="24" spans="1:5">
      <c r="B24" s="58"/>
      <c r="C24" s="58"/>
      <c r="D24" s="62"/>
    </row>
    <row r="25" spans="1:5">
      <c r="B25" s="58"/>
      <c r="C25" s="58"/>
      <c r="D25" s="62"/>
    </row>
    <row r="26" spans="1:5">
      <c r="B26" s="58"/>
      <c r="C26" s="58"/>
      <c r="D26" s="62"/>
    </row>
    <row r="27" spans="1:5">
      <c r="B27" s="58"/>
      <c r="C27" s="58"/>
      <c r="D27" s="62"/>
    </row>
    <row r="28" spans="1:5">
      <c r="B28" s="58"/>
      <c r="C28" s="58"/>
      <c r="D28" s="62"/>
    </row>
    <row r="29" spans="1:5">
      <c r="B29" s="58"/>
      <c r="C29" s="58"/>
      <c r="D29" s="62"/>
    </row>
    <row r="30" spans="1:5">
      <c r="B30" s="58"/>
      <c r="C30" s="58"/>
      <c r="D30" s="62"/>
    </row>
    <row r="31" spans="1:5">
      <c r="B31" s="58"/>
      <c r="C31" s="63"/>
      <c r="D31" s="62"/>
    </row>
    <row r="32" spans="1:5">
      <c r="B32" s="64"/>
      <c r="C32" s="62"/>
      <c r="D32" s="62"/>
    </row>
  </sheetData>
  <mergeCells count="2">
    <mergeCell ref="A1:D1"/>
    <mergeCell ref="E2:F2"/>
  </mergeCells>
  <conditionalFormatting sqref="C3:C19">
    <cfRule type="cellIs" dxfId="6" priority="5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D3:D18">
    <cfRule type="cellIs" dxfId="3" priority="1" operator="equal">
      <formula>"At Budget"</formula>
    </cfRule>
    <cfRule type="cellIs" dxfId="2" priority="2" operator="between">
      <formula>0.25</formula>
      <formula>0.5</formula>
    </cfRule>
    <cfRule type="cellIs" dxfId="1" priority="3" operator="greaterThan">
      <formula>0.5</formula>
    </cfRule>
    <cfRule type="cellIs" dxfId="0" priority="4" operator="lessThan">
      <formula>0.25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Budget Data</vt:lpstr>
      <vt:lpstr>Quicklook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Jordon Jeter</cp:lastModifiedBy>
  <dcterms:created xsi:type="dcterms:W3CDTF">2025-11-13T03:36:55Z</dcterms:created>
  <dcterms:modified xsi:type="dcterms:W3CDTF">2025-11-13T17:25:25Z</dcterms:modified>
</cp:coreProperties>
</file>