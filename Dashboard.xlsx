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09a5233c1405a/1. Life Stuff/Budget/Bank Data Export/Budget/"/>
    </mc:Choice>
  </mc:AlternateContent>
  <xr:revisionPtr revIDLastSave="2" documentId="8_{8C282894-5229-422F-8C45-28A5BDBB8B85}" xr6:coauthVersionLast="47" xr6:coauthVersionMax="47" xr10:uidLastSave="{27CEABC5-DE92-4DC9-98CF-F95E89684DB3}"/>
  <bookViews>
    <workbookView xWindow="-90" yWindow="-90" windowWidth="19380" windowHeight="10380" activeTab="1" xr2:uid="{889AB6AF-4927-474E-A023-4B35C903C06B}"/>
  </bookViews>
  <sheets>
    <sheet name="Sheet1" sheetId="1" r:id="rId1"/>
    <sheet name="Quicklook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3" i="2" s="1"/>
  <c r="F1" i="2"/>
  <c r="A1" i="2"/>
  <c r="H2" i="2" l="1"/>
  <c r="I2" i="2" s="1"/>
  <c r="J2" i="2" s="1"/>
  <c r="F4" i="2" s="1"/>
</calcChain>
</file>

<file path=xl/sharedStrings.xml><?xml version="1.0" encoding="utf-8"?>
<sst xmlns="http://schemas.openxmlformats.org/spreadsheetml/2006/main" count="30" uniqueCount="30">
  <si>
    <t xml:space="preserve">Last Update: </t>
  </si>
  <si>
    <t>Today's Date</t>
  </si>
  <si>
    <t>Start of Month</t>
  </si>
  <si>
    <t>End of Month</t>
  </si>
  <si>
    <t>Category</t>
  </si>
  <si>
    <t>Budget</t>
  </si>
  <si>
    <t>Spent</t>
  </si>
  <si>
    <t>Left</t>
  </si>
  <si>
    <t>Left of Month</t>
  </si>
  <si>
    <t>I. Electricity</t>
  </si>
  <si>
    <t>Days Left</t>
  </si>
  <si>
    <t>L. Subscriptions</t>
  </si>
  <si>
    <t>% Left</t>
  </si>
  <si>
    <t>M. Health/Fitness</t>
  </si>
  <si>
    <t>N. Eating Out</t>
  </si>
  <si>
    <t>O. Groceries</t>
  </si>
  <si>
    <t>P. Paxton Fun</t>
  </si>
  <si>
    <t>Q. Medical</t>
  </si>
  <si>
    <t>T. Philanthropy</t>
  </si>
  <si>
    <t>U. Gas and Travel</t>
  </si>
  <si>
    <t>V. Other - Shopping</t>
  </si>
  <si>
    <t>W. Other - Home</t>
  </si>
  <si>
    <t>X. Other</t>
  </si>
  <si>
    <t>Y. Vacation Expense</t>
  </si>
  <si>
    <t>At Budget</t>
  </si>
  <si>
    <t>Z. Memb - MSFT</t>
  </si>
  <si>
    <t>ZA. Car Expense</t>
  </si>
  <si>
    <t>Total</t>
  </si>
  <si>
    <t>% Of Budget</t>
  </si>
  <si>
    <t>% Budgeted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</si>
</sst>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[$-409]mmmm\-yy;@"/>
    <numFmt numFmtId="165" formatCode="[$-409]m/d/yy\ h:mm\ AM/PM;@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4B1E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D3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wrapText="1"/>
    </xf>
    <xf numFmtId="165" fontId="2" fillId="3" borderId="5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4" fontId="5" fillId="0" borderId="0" xfId="0" applyNumberFormat="1" applyFont="1"/>
    <xf numFmtId="14" fontId="6" fillId="0" borderId="0" xfId="0" applyNumberFormat="1" applyFont="1"/>
    <xf numFmtId="0" fontId="0" fillId="6" borderId="8" xfId="0" applyFill="1" applyBorder="1"/>
    <xf numFmtId="7" fontId="0" fillId="6" borderId="9" xfId="1" applyNumberFormat="1" applyFont="1" applyFill="1" applyBorder="1"/>
    <xf numFmtId="7" fontId="0" fillId="7" borderId="9" xfId="1" applyNumberFormat="1" applyFont="1" applyFill="1" applyBorder="1" applyAlignment="1">
      <alignment horizontal="center" vertical="center"/>
    </xf>
    <xf numFmtId="9" fontId="0" fillId="7" borderId="10" xfId="2" applyFont="1" applyFill="1" applyBorder="1" applyAlignment="1">
      <alignment horizontal="center" vertical="center"/>
    </xf>
    <xf numFmtId="0" fontId="0" fillId="8" borderId="8" xfId="0" applyFill="1" applyBorder="1"/>
    <xf numFmtId="1" fontId="0" fillId="8" borderId="11" xfId="0" applyNumberFormat="1" applyFill="1" applyBorder="1"/>
    <xf numFmtId="7" fontId="0" fillId="6" borderId="12" xfId="0" applyNumberFormat="1" applyFill="1" applyBorder="1"/>
    <xf numFmtId="7" fontId="0" fillId="6" borderId="13" xfId="1" applyNumberFormat="1" applyFont="1" applyFill="1" applyBorder="1"/>
    <xf numFmtId="7" fontId="0" fillId="7" borderId="13" xfId="1" applyNumberFormat="1" applyFont="1" applyFill="1" applyBorder="1" applyAlignment="1">
      <alignment horizontal="center" vertical="center"/>
    </xf>
    <xf numFmtId="0" fontId="0" fillId="8" borderId="14" xfId="0" applyFill="1" applyBorder="1"/>
    <xf numFmtId="9" fontId="0" fillId="8" borderId="15" xfId="2" applyFont="1" applyFill="1" applyBorder="1"/>
    <xf numFmtId="0" fontId="0" fillId="6" borderId="16" xfId="0" applyFill="1" applyBorder="1"/>
    <xf numFmtId="7" fontId="0" fillId="6" borderId="17" xfId="1" applyNumberFormat="1" applyFont="1" applyFill="1" applyBorder="1"/>
    <xf numFmtId="7" fontId="0" fillId="7" borderId="17" xfId="1" applyNumberFormat="1" applyFont="1" applyFill="1" applyBorder="1" applyAlignment="1">
      <alignment horizontal="center" vertical="center"/>
    </xf>
    <xf numFmtId="9" fontId="0" fillId="7" borderId="18" xfId="2" applyFont="1" applyFill="1" applyBorder="1" applyAlignment="1">
      <alignment horizontal="center" vertical="center"/>
    </xf>
    <xf numFmtId="7" fontId="2" fillId="6" borderId="19" xfId="0" applyNumberFormat="1" applyFont="1" applyFill="1" applyBorder="1"/>
    <xf numFmtId="7" fontId="2" fillId="6" borderId="20" xfId="1" applyNumberFormat="1" applyFont="1" applyFill="1" applyBorder="1"/>
    <xf numFmtId="7" fontId="2" fillId="7" borderId="20" xfId="1" applyNumberFormat="1" applyFont="1" applyFill="1" applyBorder="1" applyAlignment="1">
      <alignment horizontal="center" vertical="center"/>
    </xf>
    <xf numFmtId="9" fontId="2" fillId="7" borderId="21" xfId="2" applyFont="1" applyFill="1" applyBorder="1" applyAlignment="1">
      <alignment horizontal="center" vertical="center"/>
    </xf>
    <xf numFmtId="7" fontId="0" fillId="6" borderId="8" xfId="0" applyNumberFormat="1" applyFill="1" applyBorder="1"/>
    <xf numFmtId="9" fontId="0" fillId="7" borderId="11" xfId="2" applyFont="1" applyFill="1" applyBorder="1" applyAlignment="1">
      <alignment horizontal="center" vertical="center"/>
    </xf>
    <xf numFmtId="9" fontId="0" fillId="7" borderId="22" xfId="2" applyFont="1" applyFill="1" applyBorder="1" applyAlignment="1">
      <alignment horizontal="center" vertical="center"/>
    </xf>
    <xf numFmtId="0" fontId="0" fillId="6" borderId="12" xfId="0" applyFill="1" applyBorder="1"/>
    <xf numFmtId="7" fontId="0" fillId="6" borderId="16" xfId="0" applyNumberFormat="1" applyFill="1" applyBorder="1"/>
    <xf numFmtId="7" fontId="2" fillId="6" borderId="23" xfId="0" applyNumberFormat="1" applyFont="1" applyFill="1" applyBorder="1"/>
    <xf numFmtId="7" fontId="2" fillId="6" borderId="24" xfId="1" applyNumberFormat="1" applyFont="1" applyFill="1" applyBorder="1"/>
    <xf numFmtId="7" fontId="2" fillId="7" borderId="24" xfId="1" applyNumberFormat="1" applyFont="1" applyFill="1" applyBorder="1" applyAlignment="1">
      <alignment horizontal="center" vertical="center"/>
    </xf>
    <xf numFmtId="9" fontId="2" fillId="7" borderId="25" xfId="2" applyFont="1" applyFill="1" applyBorder="1" applyAlignment="1">
      <alignment horizontal="center" vertical="center"/>
    </xf>
    <xf numFmtId="7" fontId="2" fillId="6" borderId="16" xfId="0" applyNumberFormat="1" applyFont="1" applyFill="1" applyBorder="1"/>
    <xf numFmtId="7" fontId="2" fillId="6" borderId="17" xfId="1" applyNumberFormat="1" applyFont="1" applyFill="1" applyBorder="1"/>
    <xf numFmtId="7" fontId="2" fillId="7" borderId="17" xfId="1" applyNumberFormat="1" applyFont="1" applyFill="1" applyBorder="1" applyAlignment="1">
      <alignment horizontal="center" vertical="center"/>
    </xf>
    <xf numFmtId="9" fontId="2" fillId="7" borderId="18" xfId="2" applyFont="1" applyFill="1" applyBorder="1" applyAlignment="1">
      <alignment horizontal="center" vertical="center"/>
    </xf>
    <xf numFmtId="7" fontId="2" fillId="6" borderId="26" xfId="0" applyNumberFormat="1" applyFont="1" applyFill="1" applyBorder="1"/>
    <xf numFmtId="7" fontId="2" fillId="6" borderId="27" xfId="1" applyNumberFormat="1" applyFont="1" applyFill="1" applyBorder="1"/>
    <xf numFmtId="7" fontId="2" fillId="7" borderId="27" xfId="1" applyNumberFormat="1" applyFont="1" applyFill="1" applyBorder="1" applyAlignment="1">
      <alignment horizontal="center" vertical="center"/>
    </xf>
    <xf numFmtId="9" fontId="2" fillId="7" borderId="28" xfId="2" applyFont="1" applyFill="1" applyBorder="1" applyAlignment="1">
      <alignment horizontal="center" vertical="center"/>
    </xf>
    <xf numFmtId="7" fontId="1" fillId="6" borderId="9" xfId="1" applyNumberFormat="1" applyFont="1" applyFill="1" applyBorder="1"/>
    <xf numFmtId="7" fontId="1" fillId="7" borderId="9" xfId="1" applyNumberFormat="1" applyFont="1" applyFill="1" applyBorder="1" applyAlignment="1">
      <alignment horizontal="center" vertical="center"/>
    </xf>
    <xf numFmtId="9" fontId="1" fillId="7" borderId="11" xfId="2" applyFont="1" applyFill="1" applyBorder="1" applyAlignment="1">
      <alignment horizontal="center" vertical="center"/>
    </xf>
    <xf numFmtId="7" fontId="1" fillId="6" borderId="13" xfId="1" applyNumberFormat="1" applyFont="1" applyFill="1" applyBorder="1"/>
    <xf numFmtId="7" fontId="1" fillId="7" borderId="13" xfId="1" applyNumberFormat="1" applyFont="1" applyFill="1" applyBorder="1" applyAlignment="1">
      <alignment horizontal="center" vertical="center"/>
    </xf>
    <xf numFmtId="9" fontId="1" fillId="7" borderId="22" xfId="2" applyFont="1" applyFill="1" applyBorder="1" applyAlignment="1">
      <alignment horizontal="center" vertical="center"/>
    </xf>
    <xf numFmtId="7" fontId="0" fillId="6" borderId="14" xfId="0" applyNumberFormat="1" applyFill="1" applyBorder="1"/>
    <xf numFmtId="7" fontId="0" fillId="6" borderId="29" xfId="1" applyNumberFormat="1" applyFont="1" applyFill="1" applyBorder="1"/>
    <xf numFmtId="7" fontId="0" fillId="7" borderId="29" xfId="1" applyNumberFormat="1" applyFont="1" applyFill="1" applyBorder="1" applyAlignment="1">
      <alignment horizontal="center" vertical="center"/>
    </xf>
    <xf numFmtId="9" fontId="0" fillId="7" borderId="15" xfId="2" applyFont="1" applyFill="1" applyBorder="1" applyAlignment="1">
      <alignment horizontal="center" vertical="center"/>
    </xf>
    <xf numFmtId="0" fontId="7" fillId="0" borderId="0" xfId="0" applyFont="1"/>
    <xf numFmtId="0" fontId="0" fillId="0" borderId="30" xfId="0" applyBorder="1"/>
    <xf numFmtId="10" fontId="0" fillId="6" borderId="31" xfId="2" applyNumberFormat="1" applyFont="1" applyFill="1" applyBorder="1"/>
    <xf numFmtId="10" fontId="0" fillId="7" borderId="32" xfId="2" applyNumberFormat="1" applyFont="1" applyFill="1" applyBorder="1" applyAlignment="1">
      <alignment horizontal="center" vertical="center"/>
    </xf>
    <xf numFmtId="9" fontId="7" fillId="0" borderId="0" xfId="2" applyFont="1" applyFill="1" applyBorder="1"/>
    <xf numFmtId="44" fontId="0" fillId="0" borderId="0" xfId="1" applyFont="1" applyFill="1" applyBorder="1"/>
    <xf numFmtId="44" fontId="0" fillId="0" borderId="0" xfId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10" fontId="0" fillId="0" borderId="0" xfId="2" applyNumberFormat="1" applyFont="1" applyFill="1" applyBorder="1"/>
    <xf numFmtId="9" fontId="0" fillId="0" borderId="0" xfId="2" applyFont="1" applyFill="1" applyBorder="1"/>
    <xf numFmtId="44" fontId="2" fillId="0" borderId="0" xfId="1" applyFont="1" applyFill="1" applyBorder="1"/>
    <xf numFmtId="10" fontId="8" fillId="0" borderId="0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609a5233c1405a/1.%20Life%20Stuff/Budget/Current%20Budget%20-%202025.xlsm" TargetMode="External"/><Relationship Id="rId1" Type="http://schemas.openxmlformats.org/officeDocument/2006/relationships/externalLinkPath" Target="/35609a5233c1405a/1.%20Life%20Stuff/Budget/Current%20Budget%20-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ick Look"/>
      <sheetName val="Budget - 2025"/>
      <sheetName val="Budget - 2026"/>
      <sheetName val="Student Loans"/>
      <sheetName val="Nate Budget"/>
      <sheetName val="Mulch"/>
    </sheetNames>
    <sheetDataSet>
      <sheetData sheetId="0"/>
      <sheetData sheetId="1">
        <row r="85">
          <cell r="A85">
            <v>45974.307754629626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2CBB-0925-4541-A358-BFAC85CF1798}">
  <dimension ref="A1"/>
  <sheetViews>
    <sheetView workbookViewId="0"/>
  </sheetViews>
  <sheetFormatPr defaultRowHeight="14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B48A-3F2A-4E38-B41D-AAE414CF0161}">
  <sheetPr codeName="Sheet1"/>
  <dimension ref="A1:J32"/>
  <sheetViews>
    <sheetView tabSelected="1" zoomScale="70" zoomScaleNormal="70" workbookViewId="0">
      <selection activeCell="M6" sqref="M6"/>
    </sheetView>
  </sheetViews>
  <sheetFormatPr defaultRowHeight="14.75"/>
  <cols>
    <col min="1" max="1" width="17.90625" bestFit="1" customWidth="1"/>
    <col min="2" max="2" width="11.7265625" bestFit="1" customWidth="1"/>
    <col min="3" max="3" width="10.5" customWidth="1"/>
    <col min="4" max="4" width="12.26953125" bestFit="1" customWidth="1"/>
    <col min="5" max="5" width="11.5" bestFit="1" customWidth="1"/>
    <col min="6" max="6" width="17.31640625" bestFit="1" customWidth="1"/>
    <col min="7" max="7" width="11.1328125" hidden="1" customWidth="1"/>
    <col min="8" max="8" width="12.7265625" hidden="1" customWidth="1"/>
    <col min="9" max="9" width="11.81640625" hidden="1" customWidth="1"/>
    <col min="10" max="10" width="1" customWidth="1"/>
  </cols>
  <sheetData>
    <row r="1" spans="1:10" ht="26.25" customHeight="1" thickBot="1">
      <c r="A1" s="1" t="str">
        <f ca="1">TEXT(TODAY(), "mmmm yyyy")</f>
        <v>November 2025</v>
      </c>
      <c r="B1" s="2"/>
      <c r="C1" s="2"/>
      <c r="D1" s="3"/>
      <c r="E1" s="4" t="s">
        <v>0</v>
      </c>
      <c r="F1" s="5">
        <f>('[1]Budget - 2025'!A85)</f>
        <v>45974.307754629626</v>
      </c>
      <c r="G1" t="s">
        <v>1</v>
      </c>
      <c r="H1" t="s">
        <v>2</v>
      </c>
      <c r="I1" t="s">
        <v>3</v>
      </c>
    </row>
    <row r="2" spans="1:10" ht="16.75" thickBot="1">
      <c r="A2" s="6" t="s">
        <v>4</v>
      </c>
      <c r="B2" s="6" t="s">
        <v>5</v>
      </c>
      <c r="C2" s="6" t="s">
        <v>6</v>
      </c>
      <c r="D2" s="6" t="s">
        <v>7</v>
      </c>
      <c r="E2" s="7" t="s">
        <v>8</v>
      </c>
      <c r="F2" s="8"/>
      <c r="G2" s="9">
        <f ca="1">TODAY()</f>
        <v>45974</v>
      </c>
      <c r="H2" s="10">
        <f ca="1">DATE(YEAR(G2),MONTH(G2),1)</f>
        <v>45962</v>
      </c>
      <c r="I2" s="10">
        <f ca="1">EOMONTH(H2,0)</f>
        <v>45991</v>
      </c>
      <c r="J2">
        <f ca="1">(I2-H2)+1</f>
        <v>30</v>
      </c>
    </row>
    <row r="3" spans="1:10">
      <c r="A3" s="11" t="s">
        <v>9</v>
      </c>
      <c r="B3" s="12">
        <v>200</v>
      </c>
      <c r="C3" s="13">
        <v>0</v>
      </c>
      <c r="D3" s="14">
        <v>1</v>
      </c>
      <c r="E3" s="15" t="s">
        <v>10</v>
      </c>
      <c r="F3" s="16">
        <f ca="1">EOMONTH(G2, 0) - G2</f>
        <v>17</v>
      </c>
    </row>
    <row r="4" spans="1:10" ht="15.5" thickBot="1">
      <c r="A4" s="17" t="s">
        <v>11</v>
      </c>
      <c r="B4" s="18">
        <v>150</v>
      </c>
      <c r="C4" s="19">
        <v>92.82</v>
      </c>
      <c r="D4" s="14">
        <v>0.38120000000000009</v>
      </c>
      <c r="E4" s="20" t="s">
        <v>12</v>
      </c>
      <c r="F4" s="21">
        <f ca="1">(F3/J2)</f>
        <v>0.56666666666666665</v>
      </c>
    </row>
    <row r="5" spans="1:10" ht="15.5" thickBot="1">
      <c r="A5" s="22" t="s">
        <v>13</v>
      </c>
      <c r="B5" s="23">
        <v>110</v>
      </c>
      <c r="C5" s="24">
        <v>0</v>
      </c>
      <c r="D5" s="25">
        <v>1</v>
      </c>
    </row>
    <row r="6" spans="1:10" ht="16.25" thickTop="1" thickBot="1">
      <c r="A6" s="26" t="s">
        <v>14</v>
      </c>
      <c r="B6" s="27">
        <v>500</v>
      </c>
      <c r="C6" s="28">
        <v>177.45</v>
      </c>
      <c r="D6" s="29">
        <v>0.64510000000000001</v>
      </c>
    </row>
    <row r="7" spans="1:10" ht="15.5" thickTop="1">
      <c r="A7" s="30" t="s">
        <v>15</v>
      </c>
      <c r="B7" s="12">
        <v>1600</v>
      </c>
      <c r="C7" s="13">
        <v>899.66</v>
      </c>
      <c r="D7" s="31">
        <v>0.43771249999999995</v>
      </c>
    </row>
    <row r="8" spans="1:10">
      <c r="A8" s="17" t="s">
        <v>16</v>
      </c>
      <c r="B8" s="18">
        <v>200</v>
      </c>
      <c r="C8" s="19">
        <v>65.52</v>
      </c>
      <c r="D8" s="32">
        <v>0.67239999999999989</v>
      </c>
    </row>
    <row r="9" spans="1:10">
      <c r="A9" s="33" t="s">
        <v>17</v>
      </c>
      <c r="B9" s="18">
        <v>350</v>
      </c>
      <c r="C9" s="19">
        <v>0</v>
      </c>
      <c r="D9" s="32">
        <v>1</v>
      </c>
    </row>
    <row r="10" spans="1:10">
      <c r="A10" s="17" t="s">
        <v>18</v>
      </c>
      <c r="B10" s="18">
        <v>125</v>
      </c>
      <c r="C10" s="19">
        <v>10.7</v>
      </c>
      <c r="D10" s="32">
        <v>0.91439999999999999</v>
      </c>
    </row>
    <row r="11" spans="1:10" ht="15.5" thickBot="1">
      <c r="A11" s="34" t="s">
        <v>19</v>
      </c>
      <c r="B11" s="23">
        <v>225</v>
      </c>
      <c r="C11" s="24">
        <v>171.56</v>
      </c>
      <c r="D11" s="25">
        <v>0.23751111111111112</v>
      </c>
    </row>
    <row r="12" spans="1:10" ht="15.5" thickTop="1">
      <c r="A12" s="35" t="s">
        <v>20</v>
      </c>
      <c r="B12" s="36">
        <v>900</v>
      </c>
      <c r="C12" s="37">
        <v>275.66000000000003</v>
      </c>
      <c r="D12" s="38">
        <v>0.69371111111111117</v>
      </c>
    </row>
    <row r="13" spans="1:10">
      <c r="A13" s="39" t="s">
        <v>21</v>
      </c>
      <c r="B13" s="40">
        <v>350</v>
      </c>
      <c r="C13" s="41">
        <v>311.77999999999997</v>
      </c>
      <c r="D13" s="42">
        <v>0.10920000000000007</v>
      </c>
    </row>
    <row r="14" spans="1:10" ht="15.5" thickBot="1">
      <c r="A14" s="43" t="s">
        <v>22</v>
      </c>
      <c r="B14" s="44">
        <v>300</v>
      </c>
      <c r="C14" s="45">
        <v>4.62</v>
      </c>
      <c r="D14" s="46">
        <v>0.98460000000000003</v>
      </c>
    </row>
    <row r="15" spans="1:10" ht="15.5" thickTop="1">
      <c r="A15" s="11" t="s">
        <v>23</v>
      </c>
      <c r="B15" s="47">
        <v>0</v>
      </c>
      <c r="C15" s="48">
        <v>0</v>
      </c>
      <c r="D15" s="49" t="s">
        <v>24</v>
      </c>
    </row>
    <row r="16" spans="1:10">
      <c r="A16" s="17" t="s">
        <v>25</v>
      </c>
      <c r="B16" s="50">
        <v>150</v>
      </c>
      <c r="C16" s="51">
        <v>271.3</v>
      </c>
      <c r="D16" s="52">
        <v>-0.80866666666666664</v>
      </c>
    </row>
    <row r="17" spans="1:5">
      <c r="A17" s="11" t="s">
        <v>26</v>
      </c>
      <c r="B17" s="12">
        <v>300</v>
      </c>
      <c r="C17" s="13">
        <v>0</v>
      </c>
      <c r="D17" s="31">
        <v>1</v>
      </c>
    </row>
    <row r="18" spans="1:5" ht="15.5" thickBot="1">
      <c r="A18" s="53" t="s">
        <v>27</v>
      </c>
      <c r="B18" s="54">
        <v>12638.25</v>
      </c>
      <c r="C18" s="55">
        <v>7559.02</v>
      </c>
      <c r="D18" s="56">
        <v>0.40189345835064205</v>
      </c>
      <c r="E18" s="57" t="s">
        <v>28</v>
      </c>
    </row>
    <row r="19" spans="1:5" ht="15.5" thickBot="1">
      <c r="A19" s="58" t="s">
        <v>29</v>
      </c>
      <c r="B19" s="59">
        <v>1.0022270390293546</v>
      </c>
      <c r="C19" s="60">
        <v>0.59943854826132348</v>
      </c>
      <c r="D19" s="61"/>
    </row>
    <row r="21" spans="1:5">
      <c r="B21" s="62"/>
      <c r="C21" s="63"/>
      <c r="D21" s="64"/>
      <c r="E21" s="57"/>
    </row>
    <row r="22" spans="1:5">
      <c r="B22" s="65"/>
      <c r="C22" s="65"/>
      <c r="D22" s="61"/>
    </row>
    <row r="23" spans="1:5">
      <c r="B23" s="62"/>
      <c r="C23" s="62"/>
      <c r="D23" s="66"/>
    </row>
    <row r="24" spans="1:5">
      <c r="B24" s="62"/>
      <c r="C24" s="62"/>
      <c r="D24" s="66"/>
    </row>
    <row r="25" spans="1:5">
      <c r="B25" s="62"/>
      <c r="C25" s="62"/>
      <c r="D25" s="66"/>
    </row>
    <row r="26" spans="1:5">
      <c r="B26" s="62"/>
      <c r="C26" s="62"/>
      <c r="D26" s="66"/>
    </row>
    <row r="27" spans="1:5">
      <c r="B27" s="62"/>
      <c r="C27" s="62"/>
      <c r="D27" s="66"/>
    </row>
    <row r="28" spans="1:5">
      <c r="B28" s="62"/>
      <c r="C28" s="62"/>
      <c r="D28" s="66"/>
    </row>
    <row r="29" spans="1:5">
      <c r="B29" s="62"/>
      <c r="C29" s="62"/>
      <c r="D29" s="66"/>
    </row>
    <row r="30" spans="1:5">
      <c r="B30" s="62"/>
      <c r="C30" s="62"/>
      <c r="D30" s="66"/>
    </row>
    <row r="31" spans="1:5">
      <c r="B31" s="62"/>
      <c r="C31" s="67"/>
      <c r="D31" s="66"/>
    </row>
    <row r="32" spans="1:5">
      <c r="B32" s="68"/>
      <c r="C32" s="66"/>
      <c r="D32" s="66"/>
    </row>
  </sheetData>
  <mergeCells count="2">
    <mergeCell ref="A1:D1"/>
    <mergeCell ref="E2:F2"/>
  </mergeCells>
  <conditionalFormatting sqref="C3:C19">
    <cfRule type="cellIs" dxfId="6" priority="5" operator="equal">
      <formula>0</formula>
    </cfRule>
    <cfRule type="cellIs" dxfId="5" priority="6" operator="lessThan">
      <formula>0</formula>
    </cfRule>
    <cfRule type="cellIs" dxfId="4" priority="7" operator="greaterThan">
      <formula>0</formula>
    </cfRule>
  </conditionalFormatting>
  <conditionalFormatting sqref="D3:D18">
    <cfRule type="cellIs" dxfId="3" priority="1" operator="equal">
      <formula>"At Budget"</formula>
    </cfRule>
    <cfRule type="cellIs" dxfId="2" priority="2" operator="between">
      <formula>0.25</formula>
      <formula>0.5</formula>
    </cfRule>
    <cfRule type="cellIs" dxfId="1" priority="3" operator="greaterThan">
      <formula>0.5</formula>
    </cfRule>
    <cfRule type="cellIs" dxfId="0" priority="4" operator="lessThan">
      <formula>0.25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Quicklook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Jordon Jeter</dc:creator>
  <cp:lastModifiedBy>Jordon Jeter</cp:lastModifiedBy>
  <dcterms:created xsi:type="dcterms:W3CDTF">2025-11-13T18:45:50Z</dcterms:created>
  <dcterms:modified xsi:type="dcterms:W3CDTF">2025-11-13T18:45:52Z</dcterms:modified>
</cp:coreProperties>
</file>